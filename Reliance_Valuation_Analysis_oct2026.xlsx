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ritavidhu/Downloads/"/>
    </mc:Choice>
  </mc:AlternateContent>
  <xr:revisionPtr revIDLastSave="0" documentId="8_{0A915453-C7AB-9944-B085-F21E9A284581}" xr6:coauthVersionLast="47" xr6:coauthVersionMax="47" xr10:uidLastSave="{00000000-0000-0000-0000-000000000000}"/>
  <bookViews>
    <workbookView xWindow="0" yWindow="660" windowWidth="29400" windowHeight="18460" xr2:uid="{D956007B-01F6-274F-9394-C99B847BB566}"/>
  </bookViews>
  <sheets>
    <sheet name="Cover" sheetId="1" r:id="rId1"/>
    <sheet name="Assumptions" sheetId="2" r:id="rId2"/>
    <sheet name="Historical_financials" sheetId="3" r:id="rId3"/>
    <sheet name="Segment_analysis" sheetId="4" r:id="rId4"/>
    <sheet name="Forecast" sheetId="5" r:id="rId5"/>
    <sheet name="DCF" sheetId="6" r:id="rId6"/>
    <sheet name="Trading_comps" sheetId="7" r:id="rId7"/>
    <sheet name="SOTP_valuation" sheetId="8" r:id="rId8"/>
    <sheet name="Sensitivity_check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8" l="1"/>
  <c r="D8" i="8"/>
  <c r="D7" i="8"/>
  <c r="D6" i="8"/>
  <c r="D5" i="8"/>
  <c r="D10" i="8" s="1"/>
  <c r="C10" i="8"/>
  <c r="B13" i="5"/>
  <c r="B5" i="5"/>
  <c r="B6" i="5" s="1"/>
  <c r="C7" i="3"/>
  <c r="B30" i="6"/>
  <c r="B31" i="6"/>
  <c r="C9" i="7"/>
  <c r="C11" i="7" s="1"/>
  <c r="E9" i="7"/>
  <c r="E11" i="7" s="1"/>
  <c r="D9" i="7"/>
  <c r="D11" i="7" s="1"/>
  <c r="D12" i="8"/>
  <c r="B10" i="4"/>
  <c r="B12" i="7"/>
  <c r="B9" i="7"/>
  <c r="B13" i="7"/>
  <c r="B10" i="7"/>
  <c r="G8" i="6"/>
  <c r="B18" i="6"/>
  <c r="B27" i="6" s="1"/>
  <c r="F8" i="6"/>
  <c r="E8" i="6"/>
  <c r="D8" i="6"/>
  <c r="C8" i="6"/>
  <c r="B7" i="5"/>
  <c r="B10" i="5" s="1"/>
  <c r="B14" i="5"/>
  <c r="B9" i="5"/>
  <c r="G7" i="3"/>
  <c r="B8" i="5" s="1"/>
  <c r="D7" i="3"/>
  <c r="E7" i="3"/>
  <c r="F7" i="3"/>
  <c r="C9" i="4" l="1"/>
  <c r="C5" i="4"/>
  <c r="C8" i="4"/>
  <c r="C7" i="4"/>
  <c r="B12" i="4"/>
  <c r="C6" i="4"/>
  <c r="D13" i="8"/>
  <c r="B15" i="1" s="1"/>
  <c r="E15" i="7"/>
  <c r="E14" i="7"/>
  <c r="B11" i="7"/>
  <c r="D15" i="7"/>
  <c r="D14" i="7"/>
  <c r="C5" i="5"/>
  <c r="C14" i="7"/>
  <c r="C15" i="7"/>
  <c r="B11" i="5"/>
  <c r="B12" i="5" s="1"/>
  <c r="B15" i="5" s="1"/>
  <c r="C10" i="4" l="1"/>
  <c r="B15" i="7"/>
  <c r="B20" i="7" s="1"/>
  <c r="B14" i="7"/>
  <c r="B19" i="7" s="1"/>
  <c r="C9" i="5"/>
  <c r="C7" i="5"/>
  <c r="C14" i="5"/>
  <c r="C6" i="5"/>
  <c r="C13" i="5"/>
  <c r="D5" i="5"/>
  <c r="C10" i="5" l="1"/>
  <c r="C8" i="5"/>
  <c r="D7" i="5"/>
  <c r="E5" i="5"/>
  <c r="D13" i="5"/>
  <c r="D6" i="5"/>
  <c r="D9" i="5"/>
  <c r="D14" i="5"/>
  <c r="C11" i="5" l="1"/>
  <c r="C12" i="5" s="1"/>
  <c r="C15" i="5" s="1"/>
  <c r="C6" i="6" s="1"/>
  <c r="D10" i="5"/>
  <c r="D11" i="5" s="1"/>
  <c r="D12" i="5" s="1"/>
  <c r="D15" i="5" s="1"/>
  <c r="D6" i="6" s="1"/>
  <c r="D9" i="6" s="1"/>
  <c r="D8" i="5"/>
  <c r="E14" i="5"/>
  <c r="E13" i="5"/>
  <c r="E9" i="5"/>
  <c r="E7" i="5"/>
  <c r="E6" i="5"/>
  <c r="F5" i="5"/>
  <c r="C9" i="6" l="1"/>
  <c r="E10" i="5"/>
  <c r="E11" i="5" s="1"/>
  <c r="E12" i="5" s="1"/>
  <c r="E15" i="5" s="1"/>
  <c r="E6" i="6" s="1"/>
  <c r="E8" i="5"/>
  <c r="F14" i="5"/>
  <c r="F9" i="5"/>
  <c r="F6" i="5"/>
  <c r="F13" i="5"/>
  <c r="F7" i="5"/>
  <c r="G5" i="5"/>
  <c r="F8" i="5" l="1"/>
  <c r="F10" i="5"/>
  <c r="G13" i="5"/>
  <c r="G6" i="5"/>
  <c r="G7" i="5"/>
  <c r="G9" i="5"/>
  <c r="G14" i="5"/>
  <c r="E9" i="6"/>
  <c r="F11" i="5" l="1"/>
  <c r="F12" i="5" s="1"/>
  <c r="F15" i="5" s="1"/>
  <c r="F6" i="6" s="1"/>
  <c r="G10" i="5"/>
  <c r="G8" i="5"/>
  <c r="F9" i="6" l="1"/>
  <c r="G11" i="5"/>
  <c r="G12" i="5" s="1"/>
  <c r="G15" i="5" s="1"/>
  <c r="G6" i="6" s="1"/>
  <c r="E9" i="9" l="1" a="1"/>
  <c r="D8" i="9" a="1"/>
  <c r="D5" i="9" a="1"/>
  <c r="B6" i="9" a="1"/>
  <c r="B9" i="9" a="1"/>
  <c r="B5" i="9" a="1"/>
  <c r="D9" i="9" a="1"/>
  <c r="C9" i="9" a="1"/>
  <c r="F5" i="9" a="1"/>
  <c r="E6" i="9" a="1"/>
  <c r="C5" i="9" a="1"/>
  <c r="C7" i="9" a="1"/>
  <c r="D7" i="9" a="1"/>
  <c r="F8" i="9" a="1"/>
  <c r="C6" i="9" a="1"/>
  <c r="C8" i="9" a="1"/>
  <c r="E7" i="9" a="1"/>
  <c r="G9" i="6"/>
  <c r="G14" i="6"/>
  <c r="G15" i="6" s="1"/>
  <c r="E5" i="9" a="1"/>
  <c r="B8" i="9" a="1"/>
  <c r="F9" i="9" a="1"/>
  <c r="F6" i="9" a="1"/>
  <c r="D6" i="9" a="1"/>
  <c r="F7" i="9" a="1"/>
  <c r="E8" i="9" a="1"/>
  <c r="B7" i="9" a="1"/>
  <c r="B17" i="6" l="1"/>
  <c r="B24" i="6"/>
  <c r="B25" i="6"/>
  <c r="B19" i="6" l="1"/>
  <c r="B29" i="6"/>
  <c r="B26" i="6"/>
  <c r="B28" i="6" l="1"/>
  <c r="B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<sst xmlns="http://schemas.openxmlformats.org/spreadsheetml/2006/main" count="237" uniqueCount="190">
  <si>
    <t>Financial Metric</t>
  </si>
  <si>
    <t>Unit</t>
  </si>
  <si>
    <t>FY2022</t>
  </si>
  <si>
    <t>FY2023</t>
  </si>
  <si>
    <t>FY2024</t>
  </si>
  <si>
    <t>FY2025</t>
  </si>
  <si>
    <t>FY2026</t>
  </si>
  <si>
    <t>Source / Notes</t>
  </si>
  <si>
    <t>Gross Revenue</t>
  </si>
  <si>
    <t>₹ crore</t>
  </si>
  <si>
    <t>Revenue from Operations</t>
  </si>
  <si>
    <t>EBITDA</t>
  </si>
  <si>
    <t>EBITDA Margin on Gross Revenue</t>
  </si>
  <si>
    <t>%</t>
  </si>
  <si>
    <t>Profit Before Tax</t>
  </si>
  <si>
    <t>Profit After Tax</t>
  </si>
  <si>
    <t>Operating Cash Flow</t>
  </si>
  <si>
    <t>Capital Expenditure</t>
  </si>
  <si>
    <t>Total Assets</t>
  </si>
  <si>
    <t>Total Equity</t>
  </si>
  <si>
    <t>Gross Debt</t>
  </si>
  <si>
    <t>Net Debt</t>
  </si>
  <si>
    <t>Reliance Industries Limited | Valuation Assumptions</t>
  </si>
  <si>
    <t>Assumption</t>
  </si>
  <si>
    <t>Base Case</t>
  </si>
  <si>
    <t>Rationale / Source</t>
  </si>
  <si>
    <t>Revenue Growth</t>
  </si>
  <si>
    <t>EBITDA Margin</t>
  </si>
  <si>
    <t>Tax Rate</t>
  </si>
  <si>
    <t>% of Revenue</t>
  </si>
  <si>
    <t>Depreciation</t>
  </si>
  <si>
    <t>Working Capital Change</t>
  </si>
  <si>
    <t>% of Revenue Growth</t>
  </si>
  <si>
    <t>WACC</t>
  </si>
  <si>
    <t>Terminal Growth Rate</t>
  </si>
  <si>
    <t>Forecast Period</t>
  </si>
  <si>
    <t>Years</t>
  </si>
  <si>
    <t>Base-case forecast assumption of 8.0%, below FY2026 actual revenue growth of approximately 9.75%; not company guidance.</t>
  </si>
  <si>
    <t>Based on FY2026 EBITDA of ₹207,911 crore divided by gross revenue of ₹1,175,919 crore, giving an actual margin of approximately 17.68%; 17.5% is the rounded forecast assumption.</t>
  </si>
  <si>
    <t>Provisional normalized tax-rate assumption for forecasting; not verified as Reliance’s normalized effective tax rate.</t>
  </si>
  <si>
    <t>Initial assumption of 10.0%; validate using cost of equity, after-tax cost of debt, capital structure and market-based inputs.</t>
  </si>
  <si>
    <t>Long-term nominal growth assumption of 4.0%; must remain below WACC and be tested through sensitivity analysis.</t>
  </si>
  <si>
    <t>Based on FY2026 cash-flow-statement capex of ₹122,916 crore divided by gross revenue of ₹1,175,919 crore, approximately 10.5%. Uses the same capex measure as the historical financials; verify the precise line-item definition before finalizing.</t>
  </si>
  <si>
    <t>Based on FY2026 depreciation and amortisation of ₹57,688 crore divided by gross revenue of ₹1,175,919 crore, approximately 4.9%. Verify the source line-item definition before finalizing.</t>
  </si>
  <si>
    <t>Provisional assumption of 5.0% of revenue growth. To be validated against historical changes in operating working capital and revenue growth before finalizing the forecast.</t>
  </si>
  <si>
    <t>Reliance Industries Limited, Annual Reports FY2021-22 to FY2025-26, Consolidated Financial Highlights; amounts in ₹ crore.</t>
  </si>
  <si>
    <t>Reliance Industries Limited, Annual Reports FY2021-22 to FY2025-26, Consolidated Financial Highlights; EBITDA, ₹ crore.</t>
  </si>
  <si>
    <t>Reliance Industries Limited, Annual Reports FY2021-22 to FY2025-26, consolidated revenue from operations; amounts in ₹ crore.</t>
  </si>
  <si>
    <t>Calculated as EBITDA divided by Gross Revenue for each financial year; underlying figures sourced from Reliance Industries Limited consolidated financial highlights, FY2021-22 to FY2025-26. Percentages calculated in Excel.</t>
  </si>
  <si>
    <t>Reliance Industries Limited, consolidated financial statements, Annual Reports FY2021-22 to FY2025-26; Profit Before Tax, ₹ crore. Verify the exact statement line and definition for each year.</t>
  </si>
  <si>
    <t>Reliance Industries Limited, consolidated financial statements, Annual Reports FY2021-22 to FY2025-26; verify whether each figure represents profit for the year or profit attributable to owners of the parent; amounts in ₹ crore.</t>
  </si>
  <si>
    <t>Reliance Industries Limited, consolidated statements of cash flows, Annual Reports FY2021-22 to FY2025-26; net cash generated from operating activities, ₹ crore.</t>
  </si>
  <si>
    <t>Reliance Industries Limited, consolidated statements of cash flows, Annual Reports FY2021-22 to FY2025-26; expenditure on property, plant and equipment, spectrum and other intangible assets, ₹ crore. Distinct from management-reported capex.</t>
  </si>
  <si>
    <t>Reliance Industries Limited, consolidated balance sheets, Annual Reports FY2021-22 to FY2025-26; total assets at each financial year-end, ₹ crore.</t>
  </si>
  <si>
    <t>Reliance Industries Limited, consolidated balance sheets, Annual Reports FY2021-22 to FY2025-26; total equity at each financial year-end, ₹ crore. Verify consistency of the reported equity line across years.</t>
  </si>
  <si>
    <t>Reliance Industries Limited, consolidated financial statements and annual-report financial highlights, FY2021-22 to FY2025-26; gross debt at each financial year-end, ₹ crore. Verify the reported debt definition and consistency across years.</t>
  </si>
  <si>
    <t>Reliance Industries Limited, annual reports FY2021-22 to FY2025-26; net debt at each financial year-end, ₹ crore. Verify the reported definition and consistency across years.</t>
  </si>
  <si>
    <t>FY2026 Actual</t>
  </si>
  <si>
    <t>FY2027E</t>
  </si>
  <si>
    <t>FY2028E</t>
  </si>
  <si>
    <t>FY2029E</t>
  </si>
  <si>
    <t>FY2030E</t>
  </si>
  <si>
    <t>Depreciation &amp; Amortisation</t>
  </si>
  <si>
    <t>EBIT</t>
  </si>
  <si>
    <t>Tax on EBIT</t>
  </si>
  <si>
    <t>NOPAT</t>
  </si>
  <si>
    <t>Change in Working Capital</t>
  </si>
  <si>
    <t>Unlevered Free Cash Flow</t>
  </si>
  <si>
    <t>RELIANCE INDUSTRIES LIMITED</t>
  </si>
  <si>
    <t>Discounted Cash Flow Valuation</t>
  </si>
  <si>
    <t>FY2026A</t>
  </si>
  <si>
    <t>Forecast Year</t>
  </si>
  <si>
    <t>Discount Period</t>
  </si>
  <si>
    <t>Discount Factor</t>
  </si>
  <si>
    <t>Present Value of UFCF</t>
  </si>
  <si>
    <t>Terminal Value</t>
  </si>
  <si>
    <t>Present Value of Terminal Value</t>
  </si>
  <si>
    <t>Enterprise Value</t>
  </si>
  <si>
    <t>Equity Value</t>
  </si>
  <si>
    <t>FY2031E</t>
  </si>
  <si>
    <t>Comparable Company Valuation</t>
  </si>
  <si>
    <t>Metric</t>
  </si>
  <si>
    <t>Reliance Industries</t>
  </si>
  <si>
    <t>Comparable 1</t>
  </si>
  <si>
    <t>Comparable 2</t>
  </si>
  <si>
    <t>Comparable 3</t>
  </si>
  <si>
    <t>Company Name</t>
  </si>
  <si>
    <t>Share Price (₹)</t>
  </si>
  <si>
    <t>Shares Outstanding (crore)</t>
  </si>
  <si>
    <t>Market Capitalisation (₹ crore)</t>
  </si>
  <si>
    <t>Net Debt (₹ crore)</t>
  </si>
  <si>
    <t>Enterprise Value (₹ crore)</t>
  </si>
  <si>
    <t>FY2026 Revenue (₹ crore)</t>
  </si>
  <si>
    <t>FY2026 EBITDA (₹ crore)</t>
  </si>
  <si>
    <t>DCF SENSITIVITY ANALYSIS</t>
  </si>
  <si>
    <t>Equity Value (₹ crore)</t>
  </si>
  <si>
    <t>WACC / Terminal Growth</t>
  </si>
  <si>
    <t>SEGMENT ANALYSIS</t>
  </si>
  <si>
    <t>Segment</t>
  </si>
  <si>
    <t>Revenue Share</t>
  </si>
  <si>
    <t>Business Description</t>
  </si>
  <si>
    <t>Source</t>
  </si>
  <si>
    <t>Oil-to-Chemicals</t>
  </si>
  <si>
    <t>Oil &amp; Gas</t>
  </si>
  <si>
    <t>Retail</t>
  </si>
  <si>
    <t>Digital Services</t>
  </si>
  <si>
    <t>Other / Eliminations</t>
  </si>
  <si>
    <t>Total</t>
  </si>
  <si>
    <t>Refining, fuels and petrochemicals</t>
  </si>
  <si>
    <t>Oil and gas exploration and production</t>
  </si>
  <si>
    <t>Retail stores and commerce</t>
  </si>
  <si>
    <t>Telecom and digital services</t>
  </si>
  <si>
    <t>Other business segments</t>
  </si>
  <si>
    <t>Total segment revenue before eliminations</t>
  </si>
  <si>
    <t>Reliance Industries Annual Report FY2025-26</t>
  </si>
  <si>
    <t>Calculated from reported segment figures</t>
  </si>
  <si>
    <t>Less: Inter-segment eliminations</t>
  </si>
  <si>
    <t>Consolidated Gross Revenue</t>
  </si>
  <si>
    <t>SUM-OF-THE-PARTS VALUATION</t>
  </si>
  <si>
    <t>Business Segment</t>
  </si>
  <si>
    <t>Estimated Enterprise Value (₹ crore)</t>
  </si>
  <si>
    <t>Source / Rationale</t>
  </si>
  <si>
    <t>Total Segment Enterprise Value</t>
  </si>
  <si>
    <t>Less: Net Debt (₹ crore)</t>
  </si>
  <si>
    <t>Implied Equity Value (₹ crore)</t>
  </si>
  <si>
    <t>EV / EBITDA Multiple (x)</t>
  </si>
  <si>
    <t>FY2026 segment EBITDA × illustrative 8.0× EV/EBITDA; multiple requires peer validation.</t>
  </si>
  <si>
    <t>FY2026 segment EBITDA × illustrative 6.0× EV/EBITDA; multiple requires peer validation.</t>
  </si>
  <si>
    <t>FY2026 segment EBITDA × illustrative 18.0× EV/EBITDA; multiple requires peer validation.</t>
  </si>
  <si>
    <t>FY2026 segment EBITDA × illustrative 12.0× EV/EBITDA; multiple requires peer validation.</t>
  </si>
  <si>
    <t>Sum of estimated segment enterprise values</t>
  </si>
  <si>
    <t>FY2026 consolidated net debt; Historical_financials!G15.</t>
  </si>
  <si>
    <t>Total segment enterprise value less consolidated net debt.</t>
  </si>
  <si>
    <t>Indian Oil Corporation</t>
  </si>
  <si>
    <t>Bharti Airtel</t>
  </si>
  <si>
    <t>Avenue Supermarts (DMart)</t>
  </si>
  <si>
    <t>Financial Valuation Report</t>
  </si>
  <si>
    <t>VALUATION METHODS</t>
  </si>
  <si>
    <t>Discounted Cash Flow (DCF)</t>
  </si>
  <si>
    <t>Sum-of-the-Parts (SOTP)</t>
  </si>
  <si>
    <t>KEY VALUATION OUTPUTS Equity Value (₹ crore)</t>
  </si>
  <si>
    <t>DATA SOURCES</t>
  </si>
  <si>
    <t>Historical Financials Reliance Industries Limited Annual Reports, FY2021–22 to FY2025–26</t>
  </si>
  <si>
    <t>Segment Analysis Reliance Industries Limited Integrated Annual Report FY2025–26</t>
  </si>
  <si>
    <t>Comparable Companies Respective company annual reports for FY2025–26 and market-price sources on the stated valuation date</t>
  </si>
  <si>
    <t>Market Data Share prices and shares outstanding should be verified against dated market data and company disclosures</t>
  </si>
  <si>
    <t>VALUATION NOTES</t>
  </si>
  <si>
    <t>DCF VALUATION SUMMARY</t>
  </si>
  <si>
    <t>DCF INTERPRETATION</t>
  </si>
  <si>
    <t xml:space="preserve">Less: Net Debt </t>
  </si>
  <si>
    <t xml:space="preserve">Equity Value </t>
  </si>
  <si>
    <t xml:space="preserve">Terminal Value as % of Enterprise Value </t>
  </si>
  <si>
    <t xml:space="preserve">WACC </t>
  </si>
  <si>
    <t xml:space="preserve">Terminal Growth Rate </t>
  </si>
  <si>
    <t xml:space="preserve">Present Value of Terminal Value </t>
  </si>
  <si>
    <t xml:space="preserve">Metric </t>
  </si>
  <si>
    <t>Value (₹ crore)</t>
  </si>
  <si>
    <t>DCF Implied Equity Value (₹ crore)</t>
  </si>
  <si>
    <t>SOTP Implied Equity Value (₹ crore)</t>
  </si>
  <si>
    <t xml:space="preserve">Valuation Date </t>
  </si>
  <si>
    <t xml:space="preserve">Financial Period </t>
  </si>
  <si>
    <t>FY2025–26</t>
  </si>
  <si>
    <t>Reliance Industries Limited | Historical Financial Analysis</t>
  </si>
  <si>
    <t xml:space="preserve">RELIANCE INDUSTRIES LIMITED </t>
  </si>
  <si>
    <t xml:space="preserve">FINANCIAL FORECAST </t>
  </si>
  <si>
    <t>Financial metric</t>
  </si>
  <si>
    <t>Unlevered Free Cash Flow (UFCF)</t>
  </si>
  <si>
    <t>Less: Net Debt  (FY2026)</t>
  </si>
  <si>
    <t>•  The Discounted Cash Flow method estimates enterprise value by discounting projected unlevered free cash flows and terminal value at the weighted average cost of capital (WACC).</t>
  </si>
  <si>
    <t>•  Terminal value represents the estimated value of cash flows beyond the explicit forecast period under the perpetual growth assumption.</t>
  </si>
  <si>
    <t>•  Equity value is calculated by subtracting FY2026 net debt from enterprise value.</t>
  </si>
  <si>
    <t>•  The valuation is sensitive to WACC, terminal growth, revenue growth, operating margins and capital expenditure assumptions.</t>
  </si>
  <si>
    <t>•  Forecast assumptions are illustrative and require validation against historical performance and market evidence.</t>
  </si>
  <si>
    <t>•  The explicit forecast period covers FY2027–FY2031.</t>
  </si>
  <si>
    <t>•  DCF Assumptions Forecasts use assumed revenue growth, EBITDA margin, tax rate, capital expenditure, depreciation, working capital requirements, WACC and terminal growth.</t>
  </si>
  <si>
    <t>•  Comparable Company Valuation EV/Revenue and EV/EBITDA multiples are calculated using market capitalisation, net debt, revenue and EBITDA.</t>
  </si>
  <si>
    <t>•  SOTP Valuation Segment valuation multiples are illustrative assumptions and require peer-based validation.</t>
  </si>
  <si>
    <t>•  Important Disclaimer This report is an academic and analytical valuation exercise. Forecasts and valuation outputs are estimates, not guarantees of market value or investment recommendations.</t>
  </si>
  <si>
    <t xml:space="preserve">Present Value of Forecast UFCF </t>
  </si>
  <si>
    <t>EV / Revenue (x)</t>
  </si>
  <si>
    <t>EV / EBITDA (x)</t>
  </si>
  <si>
    <t>Reliance EV / Revenue</t>
  </si>
  <si>
    <t>Reliance EV / EBITDA</t>
  </si>
  <si>
    <t>Interpretatation</t>
  </si>
  <si>
    <t>Comparable Company Analysis</t>
  </si>
  <si>
    <t>Reliance's EV/EBITDA multiple is below those of Bharti Airtel and Avenue Supermarts in this selected peer set. Differences in business mix, growth, and accounting limit direct comparability.</t>
  </si>
  <si>
    <t>Segment EBITDA (₹ crore)</t>
  </si>
  <si>
    <t>Other / Unallocated (Residual)</t>
  </si>
  <si>
    <t>Residual EBITDA calculated as consolidated EBITDA less the four listed segment figures; requires reconciliation to the FY2025–26 annual report.</t>
  </si>
  <si>
    <r>
      <rPr>
        <b/>
        <sz val="12"/>
        <color theme="1"/>
        <rFont val="Aptos Narrow"/>
        <scheme val="minor"/>
      </rPr>
      <t>Note</t>
    </r>
    <r>
      <rPr>
        <sz val="12"/>
        <color theme="1"/>
        <rFont val="Aptos Narrow"/>
        <family val="2"/>
        <scheme val="minor"/>
      </rPr>
      <t>: Segment multiples are illustrative assumptions, not independently verified peer trading multiples. Residual EBITDA and segment definitions require reconciliation to the FY2025–26 annual report.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</si>
</sst>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000"/>
    <numFmt numFmtId="166" formatCode="_(* #,##0_);_(* \(#,##0\);_(* &quot;-&quot;??_);_(@_)"/>
    <numFmt numFmtId="167" formatCode="&quot;BHD&quot;#,##0.00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rgb="FF000000"/>
      <name val="-webkit-standard"/>
    </font>
    <font>
      <sz val="8"/>
      <name val="Aptos Narrow"/>
      <family val="2"/>
      <scheme val="minor"/>
    </font>
    <font>
      <sz val="10"/>
      <color theme="1"/>
      <name val="Arial Unicode MS"/>
      <family val="2"/>
    </font>
    <font>
      <sz val="18"/>
      <color theme="0"/>
      <name val="Aptos Display"/>
      <scheme val="major"/>
    </font>
    <font>
      <b/>
      <sz val="12"/>
      <color theme="3"/>
      <name val="Aptos Narrow"/>
      <scheme val="minor"/>
    </font>
    <font>
      <b/>
      <sz val="14"/>
      <color theme="1"/>
      <name val="Aptos Narrow"/>
      <scheme val="minor"/>
    </font>
    <font>
      <b/>
      <sz val="10"/>
      <color theme="1"/>
      <name val="Arial Unicode MS"/>
      <family val="2"/>
    </font>
    <font>
      <sz val="12"/>
      <color theme="0"/>
      <name val="Aptos Display"/>
      <scheme val="major"/>
    </font>
    <font>
      <b/>
      <sz val="16"/>
      <color theme="2"/>
      <name val="Aptos Display"/>
      <scheme val="major"/>
    </font>
    <font>
      <b/>
      <sz val="16"/>
      <color theme="0"/>
      <name val="Aptos Display"/>
      <scheme val="major"/>
    </font>
    <font>
      <b/>
      <sz val="12"/>
      <color theme="0"/>
      <name val="Aptos Narrow"/>
      <scheme val="minor"/>
    </font>
    <font>
      <b/>
      <sz val="18"/>
      <color theme="0"/>
      <name val="Aptos Display"/>
      <scheme val="major"/>
    </font>
    <font>
      <b/>
      <sz val="14"/>
      <color theme="0"/>
      <name val="Aptos Display"/>
      <scheme val="major"/>
    </font>
    <font>
      <b/>
      <sz val="18"/>
      <color theme="2"/>
      <name val="Aptos Display"/>
      <scheme val="major"/>
    </font>
    <font>
      <sz val="12"/>
      <color rgb="FF000000"/>
      <name val="Aptos Narrow"/>
      <scheme val="minor"/>
    </font>
    <font>
      <b/>
      <sz val="10"/>
      <color theme="0"/>
      <name val="Arial Unicode MS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4C4D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95B9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2E9FA"/>
        <bgColor indexed="64"/>
      </patternFill>
    </fill>
    <fill>
      <patternFill patternType="solid">
        <fgColor rgb="FFD1D4D4"/>
        <bgColor indexed="64"/>
      </patternFill>
    </fill>
    <fill>
      <patternFill patternType="solid">
        <fgColor rgb="FFABCBDD"/>
        <bgColor indexed="64"/>
      </patternFill>
    </fill>
    <fill>
      <patternFill patternType="solid">
        <fgColor rgb="FFA7C6D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wrapText="1"/>
    </xf>
    <xf numFmtId="2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4" fillId="2" borderId="1" xfId="0" applyFont="1" applyFill="1" applyBorder="1"/>
    <xf numFmtId="0" fontId="4" fillId="2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164" fontId="15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0" fontId="0" fillId="0" borderId="1" xfId="2" applyNumberFormat="1" applyFont="1" applyBorder="1"/>
    <xf numFmtId="0" fontId="8" fillId="0" borderId="1" xfId="0" applyFont="1" applyBorder="1" applyAlignment="1">
      <alignment wrapText="1"/>
    </xf>
    <xf numFmtId="0" fontId="0" fillId="5" borderId="1" xfId="0" applyFill="1" applyBorder="1" applyAlignment="1">
      <alignment horizontal="center"/>
    </xf>
    <xf numFmtId="43" fontId="0" fillId="0" borderId="1" xfId="1" applyFont="1" applyBorder="1"/>
    <xf numFmtId="166" fontId="0" fillId="0" borderId="1" xfId="1" applyNumberFormat="1" applyFont="1" applyBorder="1"/>
    <xf numFmtId="166" fontId="5" fillId="0" borderId="1" xfId="1" applyNumberFormat="1" applyFont="1" applyBorder="1"/>
    <xf numFmtId="0" fontId="6" fillId="0" borderId="1" xfId="0" applyFont="1" applyBorder="1"/>
    <xf numFmtId="0" fontId="7" fillId="4" borderId="1" xfId="0" applyFont="1" applyFill="1" applyBorder="1"/>
    <xf numFmtId="166" fontId="9" fillId="0" borderId="1" xfId="1" applyNumberFormat="1" applyFont="1" applyBorder="1"/>
    <xf numFmtId="10" fontId="9" fillId="0" borderId="1" xfId="2" applyNumberFormat="1" applyFont="1" applyBorder="1"/>
    <xf numFmtId="0" fontId="6" fillId="5" borderId="1" xfId="0" applyFont="1" applyFill="1" applyBorder="1"/>
    <xf numFmtId="166" fontId="9" fillId="5" borderId="1" xfId="1" applyNumberFormat="1" applyFont="1" applyFill="1" applyBorder="1"/>
    <xf numFmtId="0" fontId="0" fillId="5" borderId="1" xfId="0" applyFill="1" applyBorder="1"/>
    <xf numFmtId="166" fontId="0" fillId="5" borderId="1" xfId="1" applyNumberFormat="1" applyFont="1" applyFill="1" applyBorder="1"/>
    <xf numFmtId="0" fontId="17" fillId="0" borderId="0" xfId="0" applyFont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0" fontId="0" fillId="0" borderId="1" xfId="0" applyNumberFormat="1" applyBorder="1"/>
    <xf numFmtId="43" fontId="8" fillId="0" borderId="1" xfId="1" applyFont="1" applyBorder="1"/>
    <xf numFmtId="166" fontId="23" fillId="0" borderId="1" xfId="1" applyNumberFormat="1" applyFont="1" applyBorder="1"/>
    <xf numFmtId="166" fontId="8" fillId="0" borderId="1" xfId="1" applyNumberFormat="1" applyFont="1" applyBorder="1"/>
    <xf numFmtId="166" fontId="7" fillId="4" borderId="1" xfId="1" applyNumberFormat="1" applyFont="1" applyFill="1" applyBorder="1"/>
    <xf numFmtId="0" fontId="0" fillId="0" borderId="2" xfId="0" applyBorder="1"/>
    <xf numFmtId="0" fontId="13" fillId="7" borderId="1" xfId="0" applyFont="1" applyFill="1" applyBorder="1"/>
    <xf numFmtId="15" fontId="13" fillId="7" borderId="1" xfId="0" applyNumberFormat="1" applyFont="1" applyFill="1" applyBorder="1"/>
    <xf numFmtId="0" fontId="13" fillId="7" borderId="1" xfId="0" applyFont="1" applyFill="1" applyBorder="1" applyAlignment="1">
      <alignment horizontal="right"/>
    </xf>
    <xf numFmtId="0" fontId="7" fillId="7" borderId="1" xfId="0" applyFont="1" applyFill="1" applyBorder="1"/>
    <xf numFmtId="166" fontId="9" fillId="7" borderId="1" xfId="1" applyNumberFormat="1" applyFont="1" applyFill="1" applyBorder="1"/>
    <xf numFmtId="10" fontId="9" fillId="7" borderId="1" xfId="2" applyNumberFormat="1" applyFont="1" applyFill="1" applyBorder="1"/>
    <xf numFmtId="0" fontId="6" fillId="7" borderId="1" xfId="0" applyFont="1" applyFill="1" applyBorder="1"/>
    <xf numFmtId="9" fontId="7" fillId="7" borderId="1" xfId="2" applyFont="1" applyFill="1" applyBorder="1"/>
    <xf numFmtId="0" fontId="7" fillId="7" borderId="1" xfId="0" applyFont="1" applyFill="1" applyBorder="1" applyAlignment="1">
      <alignment wrapText="1"/>
    </xf>
    <xf numFmtId="0" fontId="7" fillId="7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166" fontId="23" fillId="0" borderId="1" xfId="1" applyNumberFormat="1" applyFont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7" borderId="1" xfId="0" applyFill="1" applyBorder="1"/>
    <xf numFmtId="2" fontId="7" fillId="7" borderId="1" xfId="0" applyNumberFormat="1" applyFont="1" applyFill="1" applyBorder="1"/>
    <xf numFmtId="0" fontId="8" fillId="0" borderId="1" xfId="0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43" fontId="23" fillId="5" borderId="1" xfId="1" applyFont="1" applyFill="1" applyBorder="1"/>
    <xf numFmtId="43" fontId="0" fillId="5" borderId="1" xfId="1" applyFont="1" applyFill="1" applyBorder="1"/>
    <xf numFmtId="0" fontId="4" fillId="6" borderId="10" xfId="0" applyFont="1" applyFill="1" applyBorder="1"/>
    <xf numFmtId="0" fontId="4" fillId="6" borderId="11" xfId="0" applyFont="1" applyFill="1" applyBorder="1"/>
    <xf numFmtId="0" fontId="4" fillId="6" borderId="12" xfId="0" applyFont="1" applyFill="1" applyBorder="1"/>
    <xf numFmtId="0" fontId="0" fillId="0" borderId="5" xfId="0" applyBorder="1"/>
    <xf numFmtId="0" fontId="0" fillId="0" borderId="6" xfId="0" applyBorder="1"/>
    <xf numFmtId="43" fontId="0" fillId="0" borderId="6" xfId="1" applyFont="1" applyBorder="1"/>
    <xf numFmtId="0" fontId="0" fillId="5" borderId="5" xfId="0" applyFill="1" applyBorder="1"/>
    <xf numFmtId="43" fontId="0" fillId="5" borderId="6" xfId="1" applyFont="1" applyFill="1" applyBorder="1"/>
    <xf numFmtId="0" fontId="7" fillId="7" borderId="5" xfId="0" applyFont="1" applyFill="1" applyBorder="1"/>
    <xf numFmtId="2" fontId="7" fillId="7" borderId="6" xfId="0" applyNumberFormat="1" applyFont="1" applyFill="1" applyBorder="1"/>
    <xf numFmtId="0" fontId="7" fillId="7" borderId="7" xfId="0" applyFont="1" applyFill="1" applyBorder="1"/>
    <xf numFmtId="2" fontId="7" fillId="7" borderId="8" xfId="0" applyNumberFormat="1" applyFont="1" applyFill="1" applyBorder="1"/>
    <xf numFmtId="2" fontId="7" fillId="7" borderId="9" xfId="0" applyNumberFormat="1" applyFont="1" applyFill="1" applyBorder="1"/>
    <xf numFmtId="43" fontId="0" fillId="0" borderId="13" xfId="1" applyFont="1" applyBorder="1"/>
    <xf numFmtId="43" fontId="0" fillId="0" borderId="4" xfId="1" applyFont="1" applyBorder="1"/>
    <xf numFmtId="0" fontId="11" fillId="0" borderId="14" xfId="0" applyFont="1" applyBorder="1"/>
    <xf numFmtId="43" fontId="0" fillId="0" borderId="15" xfId="1" applyFont="1" applyBorder="1"/>
    <xf numFmtId="43" fontId="0" fillId="0" borderId="0" xfId="1" applyFont="1" applyBorder="1"/>
    <xf numFmtId="167" fontId="0" fillId="0" borderId="0" xfId="1" applyNumberFormat="1" applyFont="1"/>
    <xf numFmtId="166" fontId="8" fillId="0" borderId="13" xfId="1" applyNumberFormat="1" applyFont="1" applyBorder="1"/>
    <xf numFmtId="0" fontId="7" fillId="10" borderId="1" xfId="0" applyFont="1" applyFill="1" applyBorder="1"/>
    <xf numFmtId="0" fontId="7" fillId="5" borderId="1" xfId="0" applyFont="1" applyFill="1" applyBorder="1"/>
    <xf numFmtId="166" fontId="7" fillId="5" borderId="1" xfId="1" applyNumberFormat="1" applyFont="1" applyFill="1" applyBorder="1"/>
    <xf numFmtId="166" fontId="7" fillId="5" borderId="13" xfId="1" applyNumberFormat="1" applyFont="1" applyFill="1" applyBorder="1"/>
    <xf numFmtId="166" fontId="0" fillId="0" borderId="0" xfId="1" applyNumberFormat="1" applyFont="1" applyBorder="1"/>
    <xf numFmtId="0" fontId="3" fillId="11" borderId="10" xfId="0" applyFont="1" applyFill="1" applyBorder="1"/>
    <xf numFmtId="0" fontId="15" fillId="11" borderId="11" xfId="0" applyFont="1" applyFill="1" applyBorder="1"/>
    <xf numFmtId="0" fontId="3" fillId="11" borderId="11" xfId="0" applyFont="1" applyFill="1" applyBorder="1"/>
    <xf numFmtId="0" fontId="3" fillId="11" borderId="12" xfId="0" applyFont="1" applyFill="1" applyBorder="1"/>
    <xf numFmtId="0" fontId="0" fillId="0" borderId="6" xfId="0" applyBorder="1" applyAlignment="1">
      <alignment wrapText="1"/>
    </xf>
    <xf numFmtId="0" fontId="7" fillId="5" borderId="5" xfId="0" applyFont="1" applyFill="1" applyBorder="1"/>
    <xf numFmtId="0" fontId="7" fillId="5" borderId="6" xfId="0" applyFont="1" applyFill="1" applyBorder="1"/>
    <xf numFmtId="0" fontId="0" fillId="0" borderId="16" xfId="0" applyBorder="1"/>
    <xf numFmtId="0" fontId="0" fillId="0" borderId="17" xfId="0" applyBorder="1"/>
    <xf numFmtId="0" fontId="3" fillId="11" borderId="7" xfId="0" applyFont="1" applyFill="1" applyBorder="1"/>
    <xf numFmtId="0" fontId="15" fillId="11" borderId="8" xfId="0" applyFont="1" applyFill="1" applyBorder="1"/>
    <xf numFmtId="0" fontId="3" fillId="11" borderId="8" xfId="0" applyFont="1" applyFill="1" applyBorder="1"/>
    <xf numFmtId="0" fontId="3" fillId="11" borderId="9" xfId="0" applyFont="1" applyFill="1" applyBorder="1"/>
    <xf numFmtId="9" fontId="7" fillId="5" borderId="1" xfId="0" applyNumberFormat="1" applyFont="1" applyFill="1" applyBorder="1"/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left" wrapText="1"/>
    </xf>
    <xf numFmtId="0" fontId="22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16" fillId="6" borderId="3" xfId="0" applyFont="1" applyFill="1" applyBorder="1" applyAlignment="1">
      <alignment horizontal="center"/>
    </xf>
    <xf numFmtId="0" fontId="14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7" borderId="0" xfId="0" applyFont="1" applyFill="1" applyAlignment="1">
      <alignment horizontal="center"/>
    </xf>
    <xf numFmtId="0" fontId="8" fillId="5" borderId="1" xfId="0" applyFont="1" applyFill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top"/>
    </xf>
    <xf numFmtId="0" fontId="14" fillId="8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12" fillId="2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A7C6DA"/>
      <color rgb="FFABCBDD"/>
      <color rgb="FFD9D9D9"/>
      <color rgb="FFC2E9FA"/>
      <color rgb="FFD1D4D4"/>
      <color rgb="FF195B95"/>
      <color rgb="FFC8F0FF"/>
      <color rgb="FFCACACA"/>
      <color rgb="FFA4C4D3"/>
      <color rgb="FF6276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CE49-A241-094B-A4F5-7A93149C696F}">
  <dimension ref="A1:B27"/>
  <sheetViews>
    <sheetView tabSelected="1" zoomScale="107" workbookViewId="0">
      <selection activeCell="F15" sqref="F15"/>
    </sheetView>
  </sheetViews>
  <sheetFormatPr baseColWidth="10" defaultRowHeight="16"/>
  <cols>
    <col min="1" max="1" width="58.83203125" customWidth="1"/>
    <col min="2" max="2" width="20.83203125" customWidth="1"/>
    <col min="3" max="3" width="3.83203125" customWidth="1"/>
  </cols>
  <sheetData>
    <row r="1" spans="1:2" ht="32" customHeight="1">
      <c r="A1" s="106" t="s">
        <v>68</v>
      </c>
      <c r="B1" s="106"/>
    </row>
    <row r="2" spans="1:2" ht="20" customHeight="1">
      <c r="A2" s="107" t="s">
        <v>136</v>
      </c>
      <c r="B2" s="107"/>
    </row>
    <row r="3" spans="1:2" ht="20" customHeight="1"/>
    <row r="4" spans="1:2" ht="20" customHeight="1">
      <c r="A4" s="34" t="s">
        <v>159</v>
      </c>
      <c r="B4" s="35">
        <v>46317</v>
      </c>
    </row>
    <row r="5" spans="1:2" ht="20" customHeight="1">
      <c r="A5" s="34" t="s">
        <v>160</v>
      </c>
      <c r="B5" s="36" t="s">
        <v>161</v>
      </c>
    </row>
    <row r="6" spans="1:2" ht="20" customHeight="1"/>
    <row r="7" spans="1:2" ht="20" customHeight="1"/>
    <row r="8" spans="1:2" ht="20" customHeight="1">
      <c r="A8" s="4" t="s">
        <v>137</v>
      </c>
      <c r="B8" s="4"/>
    </row>
    <row r="9" spans="1:2" ht="20" customHeight="1">
      <c r="A9" s="104" t="s">
        <v>138</v>
      </c>
      <c r="B9" s="105"/>
    </row>
    <row r="10" spans="1:2" ht="20" customHeight="1">
      <c r="A10" s="104" t="s">
        <v>80</v>
      </c>
      <c r="B10" s="105"/>
    </row>
    <row r="11" spans="1:2" ht="20" customHeight="1">
      <c r="A11" s="104" t="s">
        <v>139</v>
      </c>
      <c r="B11" s="105"/>
    </row>
    <row r="12" spans="1:2" ht="20" customHeight="1"/>
    <row r="13" spans="1:2" ht="20" customHeight="1">
      <c r="A13" s="5" t="s">
        <v>140</v>
      </c>
      <c r="B13" s="5"/>
    </row>
    <row r="14" spans="1:2" ht="20" customHeight="1">
      <c r="A14" s="3" t="s">
        <v>157</v>
      </c>
      <c r="B14" s="15">
        <f>DCF!B19</f>
        <v>716043.58372949564</v>
      </c>
    </row>
    <row r="15" spans="1:2" ht="20" customHeight="1">
      <c r="A15" s="3" t="s">
        <v>158</v>
      </c>
      <c r="B15" s="15">
        <f>SOTP_valuation!D13</f>
        <v>2077051</v>
      </c>
    </row>
    <row r="16" spans="1:2" ht="20" customHeight="1"/>
    <row r="17" spans="1:2" ht="20" customHeight="1">
      <c r="A17" s="4" t="s">
        <v>141</v>
      </c>
      <c r="B17" s="4"/>
    </row>
    <row r="18" spans="1:2" ht="20" customHeight="1">
      <c r="A18" s="108" t="s">
        <v>142</v>
      </c>
      <c r="B18" s="108"/>
    </row>
    <row r="19" spans="1:2" ht="20" customHeight="1">
      <c r="A19" s="108" t="s">
        <v>143</v>
      </c>
      <c r="B19" s="108"/>
    </row>
    <row r="20" spans="1:2" ht="35" customHeight="1">
      <c r="A20" s="108" t="s">
        <v>144</v>
      </c>
      <c r="B20" s="108"/>
    </row>
    <row r="21" spans="1:2" ht="35" customHeight="1">
      <c r="A21" s="108" t="s">
        <v>145</v>
      </c>
      <c r="B21" s="108"/>
    </row>
    <row r="22" spans="1:2" ht="20" customHeight="1"/>
    <row r="23" spans="1:2" ht="20" customHeight="1">
      <c r="A23" s="6" t="s">
        <v>146</v>
      </c>
      <c r="B23" s="6"/>
    </row>
    <row r="24" spans="1:2" ht="40" customHeight="1">
      <c r="A24" s="103" t="s">
        <v>174</v>
      </c>
      <c r="B24" s="103"/>
    </row>
    <row r="25" spans="1:2" ht="40" customHeight="1">
      <c r="A25" s="103" t="s">
        <v>175</v>
      </c>
      <c r="B25" s="103"/>
    </row>
    <row r="26" spans="1:2" ht="40" customHeight="1">
      <c r="A26" s="103" t="s">
        <v>176</v>
      </c>
      <c r="B26" s="103"/>
    </row>
    <row r="27" spans="1:2" ht="50" customHeight="1">
      <c r="A27" s="103" t="s">
        <v>177</v>
      </c>
      <c r="B27" s="103"/>
    </row>
  </sheetData>
  <mergeCells count="13">
    <mergeCell ref="A1:B1"/>
    <mergeCell ref="A2:B2"/>
    <mergeCell ref="A18:B18"/>
    <mergeCell ref="A19:B19"/>
    <mergeCell ref="A20:B20"/>
    <mergeCell ref="A24:B24"/>
    <mergeCell ref="A25:B25"/>
    <mergeCell ref="A26:B26"/>
    <mergeCell ref="A27:B27"/>
    <mergeCell ref="A9:B9"/>
    <mergeCell ref="A10:B10"/>
    <mergeCell ref="A11:B11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0D2E-2593-B142-B730-5A70FACD0951}">
  <dimension ref="A1:D12"/>
  <sheetViews>
    <sheetView zoomScale="67" zoomScaleNormal="88" workbookViewId="0">
      <selection activeCell="D18" sqref="D18"/>
    </sheetView>
  </sheetViews>
  <sheetFormatPr baseColWidth="10" defaultRowHeight="16"/>
  <cols>
    <col min="1" max="1" width="27.83203125" customWidth="1"/>
    <col min="2" max="2" width="19.83203125" customWidth="1"/>
    <col min="3" max="3" width="15.83203125" customWidth="1"/>
    <col min="4" max="4" width="90.83203125" customWidth="1"/>
  </cols>
  <sheetData>
    <row r="1" spans="1:4" ht="34" customHeight="1">
      <c r="A1" s="109" t="s">
        <v>22</v>
      </c>
      <c r="B1" s="109"/>
      <c r="C1" s="109"/>
      <c r="D1" s="109"/>
    </row>
    <row r="2" spans="1:4" ht="20" customHeight="1">
      <c r="A2" s="26"/>
      <c r="B2" s="26"/>
      <c r="C2" s="26"/>
      <c r="D2" s="26"/>
    </row>
    <row r="3" spans="1:4">
      <c r="A3" s="37" t="s">
        <v>23</v>
      </c>
      <c r="B3" s="37" t="s">
        <v>1</v>
      </c>
      <c r="C3" s="37" t="s">
        <v>24</v>
      </c>
      <c r="D3" s="37" t="s">
        <v>25</v>
      </c>
    </row>
    <row r="4" spans="1:4" ht="45" customHeight="1">
      <c r="A4" s="3" t="s">
        <v>26</v>
      </c>
      <c r="B4" s="3" t="s">
        <v>13</v>
      </c>
      <c r="C4" s="9">
        <v>0.08</v>
      </c>
      <c r="D4" s="7" t="s">
        <v>37</v>
      </c>
    </row>
    <row r="5" spans="1:4" ht="45" customHeight="1">
      <c r="A5" s="3" t="s">
        <v>27</v>
      </c>
      <c r="B5" s="3" t="s">
        <v>13</v>
      </c>
      <c r="C5" s="9">
        <v>0.17499999999999999</v>
      </c>
      <c r="D5" s="8" t="s">
        <v>38</v>
      </c>
    </row>
    <row r="6" spans="1:4" ht="45" customHeight="1">
      <c r="A6" s="3" t="s">
        <v>28</v>
      </c>
      <c r="B6" s="3" t="s">
        <v>13</v>
      </c>
      <c r="C6" s="9">
        <v>0.25</v>
      </c>
      <c r="D6" s="8" t="s">
        <v>39</v>
      </c>
    </row>
    <row r="7" spans="1:4" ht="53" customHeight="1">
      <c r="A7" s="3" t="s">
        <v>17</v>
      </c>
      <c r="B7" s="3" t="s">
        <v>29</v>
      </c>
      <c r="C7" s="10">
        <v>0.105</v>
      </c>
      <c r="D7" s="7" t="s">
        <v>42</v>
      </c>
    </row>
    <row r="8" spans="1:4" ht="45" customHeight="1">
      <c r="A8" s="3" t="s">
        <v>30</v>
      </c>
      <c r="B8" s="3" t="s">
        <v>29</v>
      </c>
      <c r="C8" s="10">
        <v>4.9000000000000002E-2</v>
      </c>
      <c r="D8" s="7" t="s">
        <v>43</v>
      </c>
    </row>
    <row r="9" spans="1:4" ht="45" customHeight="1">
      <c r="A9" s="3" t="s">
        <v>31</v>
      </c>
      <c r="B9" s="3" t="s">
        <v>32</v>
      </c>
      <c r="C9" s="10">
        <v>0.05</v>
      </c>
      <c r="D9" s="8" t="s">
        <v>44</v>
      </c>
    </row>
    <row r="10" spans="1:4" ht="45" customHeight="1">
      <c r="A10" s="3" t="s">
        <v>33</v>
      </c>
      <c r="B10" s="3" t="s">
        <v>13</v>
      </c>
      <c r="C10" s="10">
        <v>0.1</v>
      </c>
      <c r="D10" s="7" t="s">
        <v>40</v>
      </c>
    </row>
    <row r="11" spans="1:4" ht="45" customHeight="1">
      <c r="A11" s="3" t="s">
        <v>34</v>
      </c>
      <c r="B11" s="3" t="s">
        <v>13</v>
      </c>
      <c r="C11" s="10">
        <v>0.04</v>
      </c>
      <c r="D11" s="8" t="s">
        <v>41</v>
      </c>
    </row>
    <row r="12" spans="1:4">
      <c r="A12" s="3" t="s">
        <v>35</v>
      </c>
      <c r="B12" s="3" t="s">
        <v>36</v>
      </c>
      <c r="C12" s="11">
        <v>5</v>
      </c>
      <c r="D12" s="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3796-8C84-BE43-BDE4-A7669C69807B}">
  <dimension ref="A1:H15"/>
  <sheetViews>
    <sheetView zoomScale="69" zoomScaleNormal="50" workbookViewId="0">
      <selection activeCell="G19" sqref="G19"/>
    </sheetView>
  </sheetViews>
  <sheetFormatPr baseColWidth="10" defaultRowHeight="16"/>
  <cols>
    <col min="1" max="1" width="31.83203125" customWidth="1"/>
    <col min="2" max="2" width="13.83203125" customWidth="1"/>
    <col min="3" max="7" width="14.83203125" customWidth="1"/>
    <col min="8" max="8" width="90.83203125" style="1" customWidth="1"/>
  </cols>
  <sheetData>
    <row r="1" spans="1:8" ht="30" customHeight="1">
      <c r="A1" s="106" t="s">
        <v>162</v>
      </c>
      <c r="B1" s="106"/>
      <c r="C1" s="106"/>
      <c r="D1" s="106"/>
      <c r="E1" s="106"/>
      <c r="F1" s="106"/>
      <c r="G1" s="106"/>
      <c r="H1" s="106"/>
    </row>
    <row r="3" spans="1:8" ht="17">
      <c r="A3" s="42" t="s">
        <v>0</v>
      </c>
      <c r="B3" s="43" t="s">
        <v>1</v>
      </c>
      <c r="C3" s="42" t="s">
        <v>2</v>
      </c>
      <c r="D3" s="42" t="s">
        <v>3</v>
      </c>
      <c r="E3" s="42" t="s">
        <v>4</v>
      </c>
      <c r="F3" s="42" t="s">
        <v>5</v>
      </c>
      <c r="G3" s="42" t="s">
        <v>6</v>
      </c>
      <c r="H3" s="42" t="s">
        <v>7</v>
      </c>
    </row>
    <row r="4" spans="1:8" ht="34">
      <c r="A4" s="3" t="s">
        <v>8</v>
      </c>
      <c r="B4" s="14" t="s">
        <v>9</v>
      </c>
      <c r="C4" s="16">
        <v>788743</v>
      </c>
      <c r="D4" s="16">
        <v>974864</v>
      </c>
      <c r="E4" s="16">
        <v>1000122</v>
      </c>
      <c r="F4" s="16">
        <v>1071174</v>
      </c>
      <c r="G4" s="16">
        <v>1175919</v>
      </c>
      <c r="H4" s="8" t="s">
        <v>45</v>
      </c>
    </row>
    <row r="5" spans="1:8" ht="34">
      <c r="A5" s="3" t="s">
        <v>10</v>
      </c>
      <c r="B5" s="14" t="s">
        <v>9</v>
      </c>
      <c r="C5" s="16">
        <v>717635</v>
      </c>
      <c r="D5" s="16">
        <v>891311</v>
      </c>
      <c r="E5" s="16">
        <v>914472</v>
      </c>
      <c r="F5" s="16">
        <v>980136</v>
      </c>
      <c r="G5" s="16">
        <v>1075675</v>
      </c>
      <c r="H5" s="8" t="s">
        <v>47</v>
      </c>
    </row>
    <row r="6" spans="1:8" ht="34">
      <c r="A6" s="3" t="s">
        <v>11</v>
      </c>
      <c r="B6" s="14" t="s">
        <v>9</v>
      </c>
      <c r="C6" s="16">
        <v>123684</v>
      </c>
      <c r="D6" s="16">
        <v>153920</v>
      </c>
      <c r="E6" s="16">
        <v>178290</v>
      </c>
      <c r="F6" s="16">
        <v>183422</v>
      </c>
      <c r="G6" s="16">
        <v>207911</v>
      </c>
      <c r="H6" s="8" t="s">
        <v>46</v>
      </c>
    </row>
    <row r="7" spans="1:8" ht="51">
      <c r="A7" s="3" t="s">
        <v>12</v>
      </c>
      <c r="B7" s="14" t="s">
        <v>13</v>
      </c>
      <c r="C7" s="12">
        <f>C6/C4</f>
        <v>0.15681153430204769</v>
      </c>
      <c r="D7" s="12">
        <f t="shared" ref="D7:F7" si="0">D6/D4</f>
        <v>0.1578886901147237</v>
      </c>
      <c r="E7" s="12">
        <f t="shared" si="0"/>
        <v>0.17826825127334464</v>
      </c>
      <c r="F7" s="12">
        <f t="shared" si="0"/>
        <v>0.17123455199622098</v>
      </c>
      <c r="G7" s="12">
        <f>G6/G4</f>
        <v>0.17680724607732334</v>
      </c>
      <c r="H7" s="8" t="s">
        <v>48</v>
      </c>
    </row>
    <row r="8" spans="1:8" ht="34">
      <c r="A8" s="3" t="s">
        <v>14</v>
      </c>
      <c r="B8" s="14" t="s">
        <v>9</v>
      </c>
      <c r="C8" s="16">
        <v>82154</v>
      </c>
      <c r="D8" s="16">
        <v>94046</v>
      </c>
      <c r="E8" s="16">
        <v>104340</v>
      </c>
      <c r="F8" s="16">
        <v>106017</v>
      </c>
      <c r="G8" s="16">
        <v>123162</v>
      </c>
      <c r="H8" s="8" t="s">
        <v>49</v>
      </c>
    </row>
    <row r="9" spans="1:8" ht="51">
      <c r="A9" s="3" t="s">
        <v>15</v>
      </c>
      <c r="B9" s="14" t="s">
        <v>9</v>
      </c>
      <c r="C9" s="16">
        <v>67845</v>
      </c>
      <c r="D9" s="16">
        <v>74088</v>
      </c>
      <c r="E9" s="16">
        <v>79020</v>
      </c>
      <c r="F9" s="16">
        <v>81309</v>
      </c>
      <c r="G9" s="16">
        <v>95754</v>
      </c>
      <c r="H9" s="8" t="s">
        <v>50</v>
      </c>
    </row>
    <row r="10" spans="1:8" ht="34">
      <c r="A10" s="3" t="s">
        <v>16</v>
      </c>
      <c r="B10" s="14" t="s">
        <v>9</v>
      </c>
      <c r="C10" s="16">
        <v>110654</v>
      </c>
      <c r="D10" s="16">
        <v>115032</v>
      </c>
      <c r="E10" s="16">
        <v>158788</v>
      </c>
      <c r="F10" s="16">
        <v>178703</v>
      </c>
      <c r="G10" s="16">
        <v>192113</v>
      </c>
      <c r="H10" s="8" t="s">
        <v>51</v>
      </c>
    </row>
    <row r="11" spans="1:8" ht="52">
      <c r="A11" s="3" t="s">
        <v>17</v>
      </c>
      <c r="B11" s="14" t="s">
        <v>9</v>
      </c>
      <c r="C11" s="17">
        <v>100145</v>
      </c>
      <c r="D11" s="16">
        <v>140988</v>
      </c>
      <c r="E11" s="16">
        <v>152883</v>
      </c>
      <c r="F11" s="16">
        <v>139967</v>
      </c>
      <c r="G11" s="16">
        <v>122916</v>
      </c>
      <c r="H11" s="13" t="s">
        <v>52</v>
      </c>
    </row>
    <row r="12" spans="1:8" ht="34">
      <c r="A12" s="3" t="s">
        <v>18</v>
      </c>
      <c r="B12" s="14" t="s">
        <v>9</v>
      </c>
      <c r="C12" s="16">
        <v>1499665</v>
      </c>
      <c r="D12" s="16">
        <v>1607431</v>
      </c>
      <c r="E12" s="16">
        <v>1755986</v>
      </c>
      <c r="F12" s="16">
        <v>1950121</v>
      </c>
      <c r="G12" s="16">
        <v>2178140</v>
      </c>
      <c r="H12" s="8" t="s">
        <v>53</v>
      </c>
    </row>
    <row r="13" spans="1:8" ht="34">
      <c r="A13" s="3" t="s">
        <v>19</v>
      </c>
      <c r="B13" s="14" t="s">
        <v>9</v>
      </c>
      <c r="C13" s="16">
        <v>888984</v>
      </c>
      <c r="D13" s="16">
        <v>828881</v>
      </c>
      <c r="E13" s="16">
        <v>925788</v>
      </c>
      <c r="F13" s="16">
        <v>1009626</v>
      </c>
      <c r="G13" s="16">
        <v>1085866</v>
      </c>
      <c r="H13" s="8" t="s">
        <v>54</v>
      </c>
    </row>
    <row r="14" spans="1:8" ht="51">
      <c r="A14" s="3" t="s">
        <v>20</v>
      </c>
      <c r="B14" s="14" t="s">
        <v>9</v>
      </c>
      <c r="C14" s="16">
        <v>266305</v>
      </c>
      <c r="D14" s="16">
        <v>313966</v>
      </c>
      <c r="E14" s="16">
        <v>324622</v>
      </c>
      <c r="F14" s="16">
        <v>347530</v>
      </c>
      <c r="G14" s="16">
        <v>374421</v>
      </c>
      <c r="H14" s="8" t="s">
        <v>55</v>
      </c>
    </row>
    <row r="15" spans="1:8" ht="34">
      <c r="A15" s="3" t="s">
        <v>21</v>
      </c>
      <c r="B15" s="14" t="s">
        <v>9</v>
      </c>
      <c r="C15" s="16">
        <v>34815</v>
      </c>
      <c r="D15" s="16">
        <v>125766</v>
      </c>
      <c r="E15" s="16">
        <v>116281</v>
      </c>
      <c r="F15" s="16">
        <v>117083</v>
      </c>
      <c r="G15" s="16">
        <v>124717</v>
      </c>
      <c r="H15" s="8" t="s">
        <v>56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DC76-B136-6B42-9391-921C9B10AB58}">
  <dimension ref="A1:E12"/>
  <sheetViews>
    <sheetView workbookViewId="0">
      <selection activeCell="C14" sqref="C14"/>
    </sheetView>
  </sheetViews>
  <sheetFormatPr baseColWidth="10" defaultRowHeight="16"/>
  <cols>
    <col min="1" max="1" width="28" bestFit="1" customWidth="1"/>
    <col min="2" max="2" width="22.83203125" customWidth="1"/>
    <col min="3" max="3" width="17.83203125" customWidth="1"/>
    <col min="4" max="5" width="38.83203125" customWidth="1"/>
  </cols>
  <sheetData>
    <row r="1" spans="1:5" ht="28" customHeight="1">
      <c r="A1" s="110" t="s">
        <v>68</v>
      </c>
      <c r="B1" s="110"/>
      <c r="C1" s="110"/>
      <c r="D1" s="110"/>
      <c r="E1" s="110"/>
    </row>
    <row r="2" spans="1:5" ht="19">
      <c r="A2" s="111" t="s">
        <v>97</v>
      </c>
      <c r="B2" s="111"/>
      <c r="C2" s="111"/>
      <c r="D2" s="111"/>
      <c r="E2" s="111"/>
    </row>
    <row r="4" spans="1:5">
      <c r="A4" s="37" t="s">
        <v>98</v>
      </c>
      <c r="B4" s="37" t="s">
        <v>92</v>
      </c>
      <c r="C4" s="41" t="s">
        <v>99</v>
      </c>
      <c r="D4" s="37" t="s">
        <v>100</v>
      </c>
      <c r="E4" s="37" t="s">
        <v>101</v>
      </c>
    </row>
    <row r="5" spans="1:5" ht="18">
      <c r="A5" s="3" t="s">
        <v>102</v>
      </c>
      <c r="B5" s="20">
        <v>662401</v>
      </c>
      <c r="C5" s="21">
        <f>B5/$B$10</f>
        <v>0.50409769008845284</v>
      </c>
      <c r="D5" s="3" t="s">
        <v>108</v>
      </c>
      <c r="E5" s="3" t="s">
        <v>114</v>
      </c>
    </row>
    <row r="6" spans="1:5" ht="18">
      <c r="A6" s="3" t="s">
        <v>103</v>
      </c>
      <c r="B6" s="20">
        <v>23861</v>
      </c>
      <c r="C6" s="21">
        <f>B6/$B$10</f>
        <v>1.8158600278684021E-2</v>
      </c>
      <c r="D6" s="18" t="s">
        <v>109</v>
      </c>
      <c r="E6" s="3" t="s">
        <v>114</v>
      </c>
    </row>
    <row r="7" spans="1:5" ht="18">
      <c r="A7" s="3" t="s">
        <v>104</v>
      </c>
      <c r="B7" s="20">
        <v>371085</v>
      </c>
      <c r="C7" s="21">
        <f>B7/$B$10</f>
        <v>0.282401583521875</v>
      </c>
      <c r="D7" s="3" t="s">
        <v>110</v>
      </c>
      <c r="E7" s="3" t="s">
        <v>114</v>
      </c>
    </row>
    <row r="8" spans="1:5" ht="18">
      <c r="A8" s="3" t="s">
        <v>105</v>
      </c>
      <c r="B8" s="20">
        <v>176164</v>
      </c>
      <c r="C8" s="21">
        <f>B8/$B$10</f>
        <v>0.13406360418650065</v>
      </c>
      <c r="D8" s="3" t="s">
        <v>111</v>
      </c>
      <c r="E8" s="3" t="s">
        <v>114</v>
      </c>
    </row>
    <row r="9" spans="1:5" ht="18">
      <c r="A9" s="3" t="s">
        <v>106</v>
      </c>
      <c r="B9" s="20">
        <v>80522</v>
      </c>
      <c r="C9" s="21">
        <f>B9/$B$10</f>
        <v>6.1278521924487434E-2</v>
      </c>
      <c r="D9" s="3" t="s">
        <v>112</v>
      </c>
      <c r="E9" s="3" t="s">
        <v>114</v>
      </c>
    </row>
    <row r="10" spans="1:5" ht="18">
      <c r="A10" s="37" t="s">
        <v>107</v>
      </c>
      <c r="B10" s="38">
        <f>SUM(B5:B9)</f>
        <v>1314033</v>
      </c>
      <c r="C10" s="39">
        <f>SUM(C5:C9)</f>
        <v>0.99999999999999989</v>
      </c>
      <c r="D10" s="40" t="s">
        <v>113</v>
      </c>
      <c r="E10" s="40" t="s">
        <v>115</v>
      </c>
    </row>
    <row r="11" spans="1:5" ht="18">
      <c r="A11" s="22" t="s">
        <v>116</v>
      </c>
      <c r="B11" s="23">
        <v>-138114</v>
      </c>
      <c r="C11" s="24"/>
      <c r="D11" s="24"/>
      <c r="E11" s="24"/>
    </row>
    <row r="12" spans="1:5">
      <c r="A12" s="24" t="s">
        <v>117</v>
      </c>
      <c r="B12" s="25">
        <f>B10+B11</f>
        <v>1175919</v>
      </c>
      <c r="C12" s="24"/>
      <c r="D12" s="24"/>
      <c r="E12" s="24"/>
    </row>
  </sheetData>
  <mergeCells count="2">
    <mergeCell ref="A1:E1"/>
    <mergeCell ref="A2:E2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4C29-874D-F747-B531-2EA9E9F48383}">
  <dimension ref="A1:G16"/>
  <sheetViews>
    <sheetView workbookViewId="0">
      <selection activeCell="F26" sqref="F26"/>
    </sheetView>
  </sheetViews>
  <sheetFormatPr baseColWidth="10" defaultRowHeight="16"/>
  <cols>
    <col min="1" max="1" width="28.83203125" bestFit="1" customWidth="1"/>
    <col min="2" max="2" width="15.33203125" bestFit="1" customWidth="1"/>
    <col min="3" max="7" width="13" bestFit="1" customWidth="1"/>
  </cols>
  <sheetData>
    <row r="1" spans="1:7" ht="25" customHeight="1">
      <c r="A1" s="112" t="s">
        <v>163</v>
      </c>
      <c r="B1" s="112"/>
      <c r="C1" s="112"/>
      <c r="D1" s="112"/>
      <c r="E1" s="112"/>
      <c r="F1" s="112"/>
      <c r="G1" s="112"/>
    </row>
    <row r="2" spans="1:7">
      <c r="A2" s="107" t="s">
        <v>164</v>
      </c>
      <c r="B2" s="107"/>
      <c r="C2" s="107"/>
      <c r="D2" s="107"/>
      <c r="E2" s="107"/>
      <c r="F2" s="107"/>
      <c r="G2" s="107"/>
    </row>
    <row r="4" spans="1:7">
      <c r="A4" s="27" t="s">
        <v>165</v>
      </c>
      <c r="B4" s="27" t="s">
        <v>57</v>
      </c>
      <c r="C4" s="27" t="s">
        <v>58</v>
      </c>
      <c r="D4" s="27" t="s">
        <v>59</v>
      </c>
      <c r="E4" s="27" t="s">
        <v>60</v>
      </c>
      <c r="F4" s="27" t="s">
        <v>61</v>
      </c>
      <c r="G4" s="27" t="s">
        <v>79</v>
      </c>
    </row>
    <row r="5" spans="1:7">
      <c r="A5" s="3" t="s">
        <v>8</v>
      </c>
      <c r="B5" s="30">
        <f>Historical_financials!G4</f>
        <v>1175919</v>
      </c>
      <c r="C5" s="16">
        <f>B5*(1+Assumptions!$C$4)</f>
        <v>1269992.52</v>
      </c>
      <c r="D5" s="16">
        <f>C5*(1+Assumptions!$C$4)</f>
        <v>1371591.9216</v>
      </c>
      <c r="E5" s="16">
        <f>D5*(1+Assumptions!$C$4)</f>
        <v>1481319.2753280001</v>
      </c>
      <c r="F5" s="16">
        <f>E5*(1+Assumptions!$C$4)</f>
        <v>1599824.8173542402</v>
      </c>
      <c r="G5" s="16">
        <f>F5*(1+Assumptions!$C$4)</f>
        <v>1727810.8027425795</v>
      </c>
    </row>
    <row r="6" spans="1:7">
      <c r="A6" s="3" t="s">
        <v>26</v>
      </c>
      <c r="B6" s="12">
        <f>B5/Historical_financials!F4-1</f>
        <v>9.7785233771544133E-2</v>
      </c>
      <c r="C6" s="28">
        <f>C5/B5-1</f>
        <v>8.0000000000000071E-2</v>
      </c>
      <c r="D6" s="28">
        <f t="shared" ref="D6:F6" si="0">D5/C5-1</f>
        <v>8.0000000000000071E-2</v>
      </c>
      <c r="E6" s="28">
        <f t="shared" si="0"/>
        <v>8.0000000000000071E-2</v>
      </c>
      <c r="F6" s="28">
        <f t="shared" si="0"/>
        <v>8.0000000000000071E-2</v>
      </c>
      <c r="G6" s="28">
        <f>G5/F5-1</f>
        <v>8.0000000000000071E-2</v>
      </c>
    </row>
    <row r="7" spans="1:7">
      <c r="A7" s="3" t="s">
        <v>11</v>
      </c>
      <c r="B7" s="16">
        <f>Historical_financials!G6</f>
        <v>207911</v>
      </c>
      <c r="C7" s="16">
        <f>C5*Assumptions!$C$5</f>
        <v>222248.69099999999</v>
      </c>
      <c r="D7" s="16">
        <f>D5*Assumptions!$C$5</f>
        <v>240028.58627999999</v>
      </c>
      <c r="E7" s="16">
        <f>E5*Assumptions!$C$5</f>
        <v>259230.87318239998</v>
      </c>
      <c r="F7" s="16">
        <f>F5*Assumptions!$C$5</f>
        <v>279969.34303699201</v>
      </c>
      <c r="G7" s="16">
        <f>G5*Assumptions!$C$5</f>
        <v>302366.8904799514</v>
      </c>
    </row>
    <row r="8" spans="1:7">
      <c r="A8" s="3" t="s">
        <v>27</v>
      </c>
      <c r="B8" s="28">
        <f>Historical_financials!G7</f>
        <v>0.17680724607732334</v>
      </c>
      <c r="C8" s="28">
        <f>C7/C5</f>
        <v>0.17499999999999999</v>
      </c>
      <c r="D8" s="28">
        <f t="shared" ref="D8:F8" si="1">D7/D5</f>
        <v>0.17499999999999999</v>
      </c>
      <c r="E8" s="28">
        <f t="shared" si="1"/>
        <v>0.17499999999999999</v>
      </c>
      <c r="F8" s="28">
        <f t="shared" si="1"/>
        <v>0.17499999999999999</v>
      </c>
      <c r="G8" s="28">
        <f>G7/G5</f>
        <v>0.17499999999999999</v>
      </c>
    </row>
    <row r="9" spans="1:7">
      <c r="A9" s="3" t="s">
        <v>62</v>
      </c>
      <c r="B9" s="16">
        <f>57688</f>
        <v>57688</v>
      </c>
      <c r="C9" s="16">
        <f>C5*Assumptions!$C$8</f>
        <v>62229.633480000004</v>
      </c>
      <c r="D9" s="16">
        <f>D5*Assumptions!$C$8</f>
        <v>67208.004158399999</v>
      </c>
      <c r="E9" s="16">
        <f>E5*Assumptions!$C$8</f>
        <v>72584.644491072002</v>
      </c>
      <c r="F9" s="16">
        <f>F5*Assumptions!$C$8</f>
        <v>78391.416050357773</v>
      </c>
      <c r="G9" s="16">
        <f>G5*Assumptions!$C$8</f>
        <v>84662.7293343864</v>
      </c>
    </row>
    <row r="10" spans="1:7">
      <c r="A10" s="3" t="s">
        <v>63</v>
      </c>
      <c r="B10" s="16">
        <f>B7-B9</f>
        <v>150223</v>
      </c>
      <c r="C10" s="16">
        <f>C7-C9</f>
        <v>160019.05751999997</v>
      </c>
      <c r="D10" s="16">
        <f t="shared" ref="D10:F10" si="2">D7-D9</f>
        <v>172820.58212159999</v>
      </c>
      <c r="E10" s="16">
        <f t="shared" si="2"/>
        <v>186646.22869132797</v>
      </c>
      <c r="F10" s="16">
        <f t="shared" si="2"/>
        <v>201577.92698663424</v>
      </c>
      <c r="G10" s="16">
        <f>G7-G9</f>
        <v>217704.16114556498</v>
      </c>
    </row>
    <row r="11" spans="1:7">
      <c r="A11" s="3" t="s">
        <v>64</v>
      </c>
      <c r="B11" s="30">
        <f>B10*Assumptions!C6</f>
        <v>37555.75</v>
      </c>
      <c r="C11" s="16">
        <f>C10*Assumptions!$C$6</f>
        <v>40004.764379999993</v>
      </c>
      <c r="D11" s="16">
        <f>D10*Assumptions!$C$6</f>
        <v>43205.145530399997</v>
      </c>
      <c r="E11" s="16">
        <f>E10*Assumptions!$C$6</f>
        <v>46661.557172831992</v>
      </c>
      <c r="F11" s="16">
        <f>F10*Assumptions!$C$6</f>
        <v>50394.481746658559</v>
      </c>
      <c r="G11" s="16">
        <f>G10*Assumptions!$C$6</f>
        <v>54426.040286391246</v>
      </c>
    </row>
    <row r="12" spans="1:7">
      <c r="A12" s="3" t="s">
        <v>65</v>
      </c>
      <c r="B12" s="30">
        <f>B10-B11</f>
        <v>112667.25</v>
      </c>
      <c r="C12" s="16">
        <f>C10-C11</f>
        <v>120014.29313999998</v>
      </c>
      <c r="D12" s="16">
        <f t="shared" ref="D12:F12" si="3">D10-D11</f>
        <v>129615.43659119999</v>
      </c>
      <c r="E12" s="16">
        <f t="shared" si="3"/>
        <v>139984.67151849598</v>
      </c>
      <c r="F12" s="16">
        <f t="shared" si="3"/>
        <v>151183.44523997567</v>
      </c>
      <c r="G12" s="16">
        <f>G10-G11</f>
        <v>163278.12085917374</v>
      </c>
    </row>
    <row r="13" spans="1:7">
      <c r="A13" s="3" t="s">
        <v>17</v>
      </c>
      <c r="B13" s="30">
        <f>Historical_financials!G11</f>
        <v>122916</v>
      </c>
      <c r="C13" s="16">
        <f>C5*Assumptions!$C$7</f>
        <v>133349.21460000001</v>
      </c>
      <c r="D13" s="16">
        <f>D5*Assumptions!$C$7</f>
        <v>144017.15176799998</v>
      </c>
      <c r="E13" s="16">
        <f>E5*Assumptions!$C$7</f>
        <v>155538.52390944</v>
      </c>
      <c r="F13" s="16">
        <f>F5*Assumptions!$C$7</f>
        <v>167981.60582219521</v>
      </c>
      <c r="G13" s="16">
        <f>G5*Assumptions!$C$7</f>
        <v>181420.13428797084</v>
      </c>
    </row>
    <row r="14" spans="1:7">
      <c r="A14" s="3" t="s">
        <v>66</v>
      </c>
      <c r="B14" s="31">
        <f>0</f>
        <v>0</v>
      </c>
      <c r="C14" s="16">
        <f>(C5-B5)*Assumptions!$C$9</f>
        <v>4703.6760000000013</v>
      </c>
      <c r="D14" s="16">
        <f>(D5-C5)*Assumptions!$C$9</f>
        <v>5079.9700799999991</v>
      </c>
      <c r="E14" s="16">
        <f>(E5-D5)*Assumptions!$C$9</f>
        <v>5486.3676864000045</v>
      </c>
      <c r="F14" s="16">
        <f>(F5-E5)*Assumptions!$C$9</f>
        <v>5925.2771013120073</v>
      </c>
      <c r="G14" s="16">
        <f>(G5-F5)*Assumptions!$C$9</f>
        <v>6399.2992694169634</v>
      </c>
    </row>
    <row r="15" spans="1:7">
      <c r="A15" s="19" t="s">
        <v>166</v>
      </c>
      <c r="B15" s="32">
        <f>B12+B9-B13-B14</f>
        <v>47439.25</v>
      </c>
      <c r="C15" s="32">
        <f>C12+C9-C13-C14</f>
        <v>44191.036019999978</v>
      </c>
      <c r="D15" s="32">
        <f t="shared" ref="D15:F15" si="4">D12+D9-D13-D14</f>
        <v>47726.318901600025</v>
      </c>
      <c r="E15" s="32">
        <f t="shared" si="4"/>
        <v>51544.424413727989</v>
      </c>
      <c r="F15" s="32">
        <f t="shared" si="4"/>
        <v>55667.978366826224</v>
      </c>
      <c r="G15" s="32">
        <f>G12+G9-G13-G14</f>
        <v>60121.416636172318</v>
      </c>
    </row>
    <row r="16" spans="1:7">
      <c r="A16" s="33"/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8298-1DF6-6646-BFEB-F054E9A23F01}">
  <dimension ref="A1:G40"/>
  <sheetViews>
    <sheetView zoomScale="75" zoomScaleNormal="56" workbookViewId="0">
      <selection activeCell="C29" sqref="C29"/>
    </sheetView>
  </sheetViews>
  <sheetFormatPr baseColWidth="10" defaultRowHeight="16"/>
  <cols>
    <col min="1" max="1" width="32" customWidth="1"/>
    <col min="2" max="2" width="16.1640625" bestFit="1" customWidth="1"/>
  </cols>
  <sheetData>
    <row r="1" spans="1:7" ht="30" customHeight="1">
      <c r="A1" s="106" t="s">
        <v>68</v>
      </c>
      <c r="B1" s="106"/>
      <c r="C1" s="106"/>
      <c r="D1" s="106"/>
      <c r="E1" s="106"/>
      <c r="F1" s="106"/>
      <c r="G1" s="106"/>
    </row>
    <row r="2" spans="1:7" ht="23" customHeight="1">
      <c r="A2" s="115" t="s">
        <v>69</v>
      </c>
      <c r="B2" s="115"/>
      <c r="C2" s="115"/>
      <c r="D2" s="115"/>
      <c r="E2" s="115"/>
      <c r="F2" s="115"/>
      <c r="G2" s="115"/>
    </row>
    <row r="4" spans="1:7">
      <c r="A4" s="50" t="s">
        <v>0</v>
      </c>
      <c r="B4" s="44" t="s">
        <v>70</v>
      </c>
      <c r="C4" s="44" t="s">
        <v>58</v>
      </c>
      <c r="D4" s="44" t="s">
        <v>59</v>
      </c>
      <c r="E4" s="44" t="s">
        <v>60</v>
      </c>
      <c r="F4" s="44" t="s">
        <v>61</v>
      </c>
      <c r="G4" s="45" t="s">
        <v>79</v>
      </c>
    </row>
    <row r="5" spans="1:7">
      <c r="A5" s="51" t="s">
        <v>71</v>
      </c>
      <c r="B5" s="46"/>
      <c r="C5" s="46">
        <v>1</v>
      </c>
      <c r="D5" s="46">
        <v>2</v>
      </c>
      <c r="E5" s="46">
        <v>3</v>
      </c>
      <c r="F5" s="46">
        <v>4</v>
      </c>
      <c r="G5" s="46">
        <v>5</v>
      </c>
    </row>
    <row r="6" spans="1:7">
      <c r="A6" s="51" t="s">
        <v>67</v>
      </c>
      <c r="B6" s="46"/>
      <c r="C6" s="53">
        <f>Forecast!C15</f>
        <v>44191.036019999978</v>
      </c>
      <c r="D6" s="53">
        <f>Forecast!D15</f>
        <v>47726.318901600025</v>
      </c>
      <c r="E6" s="54">
        <f>Forecast!E15</f>
        <v>51544.424413727989</v>
      </c>
      <c r="F6" s="54">
        <f>Forecast!F15</f>
        <v>55667.978366826224</v>
      </c>
      <c r="G6" s="53">
        <f>Forecast!G15</f>
        <v>60121.416636172318</v>
      </c>
    </row>
    <row r="7" spans="1:7">
      <c r="A7" s="51" t="s">
        <v>72</v>
      </c>
      <c r="B7" s="46"/>
      <c r="C7" s="52">
        <v>1</v>
      </c>
      <c r="D7" s="52">
        <v>2</v>
      </c>
      <c r="E7" s="52">
        <v>3</v>
      </c>
      <c r="F7" s="52">
        <v>4</v>
      </c>
      <c r="G7" s="52">
        <v>5</v>
      </c>
    </row>
    <row r="8" spans="1:7">
      <c r="A8" s="51" t="s">
        <v>73</v>
      </c>
      <c r="B8" s="46"/>
      <c r="C8" s="55">
        <f>1/(1+$B$11)^C7</f>
        <v>0.90909090909090906</v>
      </c>
      <c r="D8" s="55">
        <f>1/(1+$B$11)^D7</f>
        <v>0.82644628099173545</v>
      </c>
      <c r="E8" s="55">
        <f>1/(1+$B$11)^E7</f>
        <v>0.75131480090157754</v>
      </c>
      <c r="F8" s="56">
        <f>1/(1+$B$11)^F7</f>
        <v>0.68301345536507052</v>
      </c>
      <c r="G8" s="55">
        <f>1/(1+$B$11)^G7</f>
        <v>0.62092132305915493</v>
      </c>
    </row>
    <row r="9" spans="1:7">
      <c r="A9" s="51" t="s">
        <v>74</v>
      </c>
      <c r="B9" s="46"/>
      <c r="C9" s="57">
        <f>C6*C8</f>
        <v>40173.669109090886</v>
      </c>
      <c r="D9" s="57">
        <f>D6*D8</f>
        <v>39443.238761652909</v>
      </c>
      <c r="E9" s="57">
        <f>E6*E8</f>
        <v>38726.088965986455</v>
      </c>
      <c r="F9" s="57">
        <f>F6*F8</f>
        <v>38021.978257513976</v>
      </c>
      <c r="G9" s="57">
        <f>G6*G8</f>
        <v>37330.669561922805</v>
      </c>
    </row>
    <row r="10" spans="1:7">
      <c r="A10" s="51"/>
      <c r="B10" s="46"/>
      <c r="C10" s="46"/>
      <c r="D10" s="46"/>
      <c r="E10" s="46"/>
      <c r="F10" s="46"/>
      <c r="G10" s="46"/>
    </row>
    <row r="11" spans="1:7">
      <c r="A11" s="51" t="s">
        <v>33</v>
      </c>
      <c r="B11" s="49">
        <v>0.1</v>
      </c>
      <c r="C11" s="46"/>
      <c r="D11" s="46"/>
      <c r="E11" s="46"/>
      <c r="F11" s="46"/>
      <c r="G11" s="46"/>
    </row>
    <row r="12" spans="1:7">
      <c r="A12" s="51" t="s">
        <v>34</v>
      </c>
      <c r="B12" s="49">
        <v>0.04</v>
      </c>
      <c r="C12" s="46"/>
      <c r="D12" s="46"/>
      <c r="E12" s="46"/>
      <c r="F12" s="46"/>
      <c r="G12" s="46"/>
    </row>
    <row r="13" spans="1:7">
      <c r="A13" s="51"/>
      <c r="B13" s="46"/>
      <c r="C13" s="46"/>
      <c r="D13" s="46"/>
      <c r="E13" s="46"/>
      <c r="F13" s="46"/>
      <c r="G13" s="46"/>
    </row>
    <row r="14" spans="1:7" ht="18">
      <c r="A14" s="51" t="s">
        <v>75</v>
      </c>
      <c r="B14" s="46"/>
      <c r="C14" s="46"/>
      <c r="D14" s="46"/>
      <c r="E14" s="46"/>
      <c r="F14" s="47"/>
      <c r="G14" s="48">
        <f>G6*(1+$B$12)/($B$11-$B$12)</f>
        <v>1042104.5550269869</v>
      </c>
    </row>
    <row r="15" spans="1:7" ht="18">
      <c r="A15" s="51" t="s">
        <v>76</v>
      </c>
      <c r="B15" s="46"/>
      <c r="C15" s="46"/>
      <c r="D15" s="46"/>
      <c r="E15" s="46"/>
      <c r="F15" s="47"/>
      <c r="G15" s="46">
        <f>G14*G8</f>
        <v>647064.93907332863</v>
      </c>
    </row>
    <row r="16" spans="1:7">
      <c r="A16" s="51"/>
      <c r="B16" s="46"/>
      <c r="C16" s="46"/>
      <c r="D16" s="46"/>
      <c r="E16" s="46"/>
      <c r="F16" s="46"/>
      <c r="G16" s="46"/>
    </row>
    <row r="17" spans="1:7">
      <c r="A17" s="51" t="s">
        <v>77</v>
      </c>
      <c r="B17" s="53">
        <f>SUM(C9:G9)+G15</f>
        <v>840760.58372949564</v>
      </c>
      <c r="C17" s="46"/>
      <c r="D17" s="46"/>
      <c r="E17" s="46"/>
      <c r="F17" s="46"/>
      <c r="G17" s="46"/>
    </row>
    <row r="18" spans="1:7">
      <c r="A18" s="51" t="s">
        <v>167</v>
      </c>
      <c r="B18" s="53">
        <f>Historical_financials!G15</f>
        <v>124717</v>
      </c>
      <c r="C18" s="46"/>
      <c r="D18" s="46"/>
      <c r="E18" s="46"/>
      <c r="F18" s="46"/>
      <c r="G18" s="46"/>
    </row>
    <row r="19" spans="1:7">
      <c r="A19" s="51" t="s">
        <v>78</v>
      </c>
      <c r="B19" s="53">
        <f>B17-B18</f>
        <v>716043.58372949564</v>
      </c>
      <c r="C19" s="46"/>
      <c r="D19" s="46"/>
      <c r="E19" s="46"/>
      <c r="F19" s="46"/>
      <c r="G19" s="46"/>
    </row>
    <row r="22" spans="1:7">
      <c r="A22" s="114" t="s">
        <v>147</v>
      </c>
      <c r="B22" s="114"/>
    </row>
    <row r="23" spans="1:7" ht="14" customHeight="1">
      <c r="A23" s="58" t="s">
        <v>155</v>
      </c>
      <c r="B23" s="58" t="s">
        <v>156</v>
      </c>
    </row>
    <row r="24" spans="1:7">
      <c r="A24" s="3" t="s">
        <v>178</v>
      </c>
      <c r="B24" s="16">
        <f>SUM(C9:G9)</f>
        <v>193695.64465616705</v>
      </c>
    </row>
    <row r="25" spans="1:7">
      <c r="A25" s="3" t="s">
        <v>154</v>
      </c>
      <c r="B25" s="16">
        <f>G15</f>
        <v>647064.93907332863</v>
      </c>
    </row>
    <row r="26" spans="1:7">
      <c r="A26" s="3" t="s">
        <v>77</v>
      </c>
      <c r="B26" s="16">
        <f>B17</f>
        <v>840760.58372949564</v>
      </c>
    </row>
    <row r="27" spans="1:7">
      <c r="A27" s="3" t="s">
        <v>149</v>
      </c>
      <c r="B27" s="16">
        <f>B18</f>
        <v>124717</v>
      </c>
    </row>
    <row r="28" spans="1:7">
      <c r="A28" s="3" t="s">
        <v>150</v>
      </c>
      <c r="B28" s="16">
        <f>B19</f>
        <v>716043.58372949564</v>
      </c>
    </row>
    <row r="29" spans="1:7">
      <c r="A29" s="3" t="s">
        <v>151</v>
      </c>
      <c r="B29" s="28">
        <f>G15/B17</f>
        <v>0.76961854729563983</v>
      </c>
    </row>
    <row r="30" spans="1:7">
      <c r="A30" s="3" t="s">
        <v>152</v>
      </c>
      <c r="B30" s="28">
        <f>B11</f>
        <v>0.1</v>
      </c>
    </row>
    <row r="31" spans="1:7">
      <c r="A31" s="3" t="s">
        <v>153</v>
      </c>
      <c r="B31" s="28">
        <f>B12</f>
        <v>0.04</v>
      </c>
    </row>
    <row r="34" spans="1:7">
      <c r="A34" s="113" t="s">
        <v>148</v>
      </c>
      <c r="B34" s="113"/>
      <c r="C34" s="113"/>
      <c r="D34" s="113"/>
      <c r="E34" s="113"/>
      <c r="F34" s="113"/>
      <c r="G34" s="113"/>
    </row>
    <row r="35" spans="1:7" ht="35" customHeight="1">
      <c r="A35" s="103" t="s">
        <v>168</v>
      </c>
      <c r="B35" s="103"/>
      <c r="C35" s="103"/>
      <c r="D35" s="103"/>
      <c r="E35" s="103"/>
      <c r="F35" s="103"/>
      <c r="G35" s="103"/>
    </row>
    <row r="36" spans="1:7" ht="20" customHeight="1">
      <c r="A36" s="103" t="s">
        <v>173</v>
      </c>
      <c r="B36" s="103"/>
      <c r="C36" s="103"/>
      <c r="D36" s="103"/>
      <c r="E36" s="103"/>
      <c r="F36" s="103"/>
      <c r="G36" s="103"/>
    </row>
    <row r="37" spans="1:7" ht="35" customHeight="1">
      <c r="A37" s="103" t="s">
        <v>169</v>
      </c>
      <c r="B37" s="103"/>
      <c r="C37" s="103"/>
      <c r="D37" s="103"/>
      <c r="E37" s="103"/>
      <c r="F37" s="103"/>
      <c r="G37" s="103"/>
    </row>
    <row r="38" spans="1:7" ht="20" customHeight="1">
      <c r="A38" s="116" t="s">
        <v>170</v>
      </c>
      <c r="B38" s="116"/>
      <c r="C38" s="116"/>
      <c r="D38" s="116"/>
      <c r="E38" s="116"/>
      <c r="F38" s="116"/>
      <c r="G38" s="116"/>
    </row>
    <row r="39" spans="1:7" ht="35" customHeight="1">
      <c r="A39" s="103" t="s">
        <v>171</v>
      </c>
      <c r="B39" s="103"/>
      <c r="C39" s="103"/>
      <c r="D39" s="103"/>
      <c r="E39" s="103"/>
      <c r="F39" s="103"/>
      <c r="G39" s="103"/>
    </row>
    <row r="40" spans="1:7" ht="30" customHeight="1">
      <c r="A40" s="103" t="s">
        <v>172</v>
      </c>
      <c r="B40" s="103"/>
      <c r="C40" s="103"/>
      <c r="D40" s="103"/>
      <c r="E40" s="103"/>
      <c r="F40" s="103"/>
      <c r="G40" s="103"/>
    </row>
  </sheetData>
  <mergeCells count="10">
    <mergeCell ref="A40:G40"/>
    <mergeCell ref="A34:G34"/>
    <mergeCell ref="A22:B22"/>
    <mergeCell ref="A1:G1"/>
    <mergeCell ref="A2:G2"/>
    <mergeCell ref="A35:G35"/>
    <mergeCell ref="A36:G36"/>
    <mergeCell ref="A37:G37"/>
    <mergeCell ref="A38:G38"/>
    <mergeCell ref="A39:G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05A7-F964-8F4B-942D-A4FB56BA69F1}">
  <dimension ref="A2:E21"/>
  <sheetViews>
    <sheetView workbookViewId="0">
      <selection activeCell="D26" sqref="D26"/>
    </sheetView>
  </sheetViews>
  <sheetFormatPr baseColWidth="10" defaultRowHeight="16"/>
  <cols>
    <col min="1" max="1" width="25.33203125" customWidth="1"/>
    <col min="2" max="2" width="26.6640625" customWidth="1"/>
    <col min="3" max="4" width="26.5" customWidth="1"/>
    <col min="5" max="5" width="25.5" customWidth="1"/>
  </cols>
  <sheetData>
    <row r="2" spans="1:5" ht="24" customHeight="1">
      <c r="A2" s="110" t="s">
        <v>68</v>
      </c>
      <c r="B2" s="110"/>
      <c r="C2" s="110"/>
      <c r="D2" s="110"/>
      <c r="E2" s="110"/>
    </row>
    <row r="3" spans="1:5">
      <c r="A3" s="117" t="s">
        <v>80</v>
      </c>
      <c r="B3" s="117"/>
      <c r="C3" s="117"/>
      <c r="D3" s="117"/>
      <c r="E3" s="117"/>
    </row>
    <row r="4" spans="1:5" ht="17" thickBot="1"/>
    <row r="5" spans="1:5">
      <c r="A5" s="64" t="s">
        <v>81</v>
      </c>
      <c r="B5" s="65" t="s">
        <v>82</v>
      </c>
      <c r="C5" s="65" t="s">
        <v>83</v>
      </c>
      <c r="D5" s="65" t="s">
        <v>84</v>
      </c>
      <c r="E5" s="66" t="s">
        <v>85</v>
      </c>
    </row>
    <row r="6" spans="1:5" ht="17">
      <c r="A6" s="67" t="s">
        <v>86</v>
      </c>
      <c r="B6" s="3" t="s">
        <v>82</v>
      </c>
      <c r="C6" s="79" t="s">
        <v>133</v>
      </c>
      <c r="D6" s="3" t="s">
        <v>134</v>
      </c>
      <c r="E6" s="68" t="s">
        <v>135</v>
      </c>
    </row>
    <row r="7" spans="1:5">
      <c r="A7" s="67" t="s">
        <v>87</v>
      </c>
      <c r="B7" s="77">
        <v>1184.5</v>
      </c>
      <c r="C7" s="81">
        <v>130.97999999999999</v>
      </c>
      <c r="D7" s="78">
        <v>1895</v>
      </c>
      <c r="E7" s="69">
        <v>3166</v>
      </c>
    </row>
    <row r="8" spans="1:5">
      <c r="A8" s="67" t="s">
        <v>88</v>
      </c>
      <c r="B8" s="15">
        <v>1353.2473</v>
      </c>
      <c r="C8" s="80">
        <v>1377.1559999999999</v>
      </c>
      <c r="D8" s="15">
        <v>580.9</v>
      </c>
      <c r="E8" s="69">
        <v>65.19</v>
      </c>
    </row>
    <row r="9" spans="1:5">
      <c r="A9" s="70" t="s">
        <v>89</v>
      </c>
      <c r="B9" s="62">
        <f>B7*B8</f>
        <v>1602921.4268499999</v>
      </c>
      <c r="C9" s="63">
        <f>C7*C8</f>
        <v>180379.89287999997</v>
      </c>
      <c r="D9" s="63">
        <f t="shared" ref="D9:E9" si="0">D7*D8</f>
        <v>1100805.5</v>
      </c>
      <c r="E9" s="71">
        <f t="shared" si="0"/>
        <v>206391.53999999998</v>
      </c>
    </row>
    <row r="10" spans="1:5">
      <c r="A10" s="67" t="s">
        <v>90</v>
      </c>
      <c r="B10" s="15">
        <f>Historical_financials!G15</f>
        <v>124717</v>
      </c>
      <c r="C10" s="15">
        <v>118356.05</v>
      </c>
      <c r="D10" s="15">
        <v>107949</v>
      </c>
      <c r="E10" s="69">
        <v>1804.03</v>
      </c>
    </row>
    <row r="11" spans="1:5">
      <c r="A11" s="70" t="s">
        <v>91</v>
      </c>
      <c r="B11" s="63">
        <f>B9+B10</f>
        <v>1727638.4268499999</v>
      </c>
      <c r="C11" s="63">
        <f>C9+C10</f>
        <v>298735.94287999999</v>
      </c>
      <c r="D11" s="63">
        <f>D9+D10</f>
        <v>1208754.5</v>
      </c>
      <c r="E11" s="71">
        <f>E9+E10</f>
        <v>208195.56999999998</v>
      </c>
    </row>
    <row r="12" spans="1:5">
      <c r="A12" s="67" t="s">
        <v>92</v>
      </c>
      <c r="B12" s="15">
        <f>Historical_financials!G4</f>
        <v>1175919</v>
      </c>
      <c r="C12" s="15">
        <v>901452.7</v>
      </c>
      <c r="D12" s="15">
        <v>210972.79999999999</v>
      </c>
      <c r="E12" s="69">
        <v>68820.740000000005</v>
      </c>
    </row>
    <row r="13" spans="1:5">
      <c r="A13" s="67" t="s">
        <v>93</v>
      </c>
      <c r="B13" s="15">
        <f>Historical_financials!G6</f>
        <v>207911</v>
      </c>
      <c r="C13" s="15">
        <v>77061.649999999994</v>
      </c>
      <c r="D13" s="29">
        <v>121267.6</v>
      </c>
      <c r="E13" s="69">
        <v>5620.69</v>
      </c>
    </row>
    <row r="14" spans="1:5">
      <c r="A14" s="72" t="s">
        <v>179</v>
      </c>
      <c r="B14" s="59">
        <f>B11/B12</f>
        <v>1.4691814885634129</v>
      </c>
      <c r="C14" s="59">
        <f>C11/C12</f>
        <v>0.33139391881570712</v>
      </c>
      <c r="D14" s="59">
        <f>D11/D12</f>
        <v>5.7294328937190011</v>
      </c>
      <c r="E14" s="73">
        <f>E11/E12</f>
        <v>3.0251864481550177</v>
      </c>
    </row>
    <row r="15" spans="1:5" ht="17" thickBot="1">
      <c r="A15" s="74" t="s">
        <v>180</v>
      </c>
      <c r="B15" s="75">
        <f>B11/B13</f>
        <v>8.3095094865110557</v>
      </c>
      <c r="C15" s="75">
        <f>C11/C13</f>
        <v>3.8765837855794678</v>
      </c>
      <c r="D15" s="75">
        <f>D11/D13</f>
        <v>9.9676624259076618</v>
      </c>
      <c r="E15" s="76">
        <f>E11/E13</f>
        <v>37.040927359452311</v>
      </c>
    </row>
    <row r="18" spans="1:5" ht="20" customHeight="1">
      <c r="A18" s="120" t="s">
        <v>184</v>
      </c>
      <c r="B18" s="120"/>
      <c r="C18" s="120"/>
      <c r="D18" s="120"/>
      <c r="E18" s="120"/>
    </row>
    <row r="19" spans="1:5" ht="19" customHeight="1">
      <c r="A19" s="60" t="s">
        <v>181</v>
      </c>
      <c r="B19" s="119">
        <f>B14</f>
        <v>1.4691814885634129</v>
      </c>
      <c r="C19" s="119"/>
      <c r="D19" s="119"/>
      <c r="E19" s="119"/>
    </row>
    <row r="20" spans="1:5" ht="19" customHeight="1">
      <c r="A20" s="60" t="s">
        <v>182</v>
      </c>
      <c r="B20" s="119">
        <f>B15</f>
        <v>8.3095094865110557</v>
      </c>
      <c r="C20" s="119"/>
      <c r="D20" s="119"/>
      <c r="E20" s="119"/>
    </row>
    <row r="21" spans="1:5" ht="36" customHeight="1">
      <c r="A21" s="61" t="s">
        <v>183</v>
      </c>
      <c r="B21" s="118" t="s">
        <v>185</v>
      </c>
      <c r="C21" s="118"/>
      <c r="D21" s="118"/>
      <c r="E21" s="118"/>
    </row>
  </sheetData>
  <mergeCells count="6">
    <mergeCell ref="A2:E2"/>
    <mergeCell ref="A3:E3"/>
    <mergeCell ref="B21:E21"/>
    <mergeCell ref="B19:E19"/>
    <mergeCell ref="B20:E20"/>
    <mergeCell ref="A18:E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D6EC-43E6-124F-AEA3-B347CB2A7168}">
  <dimension ref="A1:E23"/>
  <sheetViews>
    <sheetView zoomScale="66" workbookViewId="0">
      <selection activeCell="D25" sqref="D25"/>
    </sheetView>
  </sheetViews>
  <sheetFormatPr baseColWidth="10" defaultRowHeight="16"/>
  <cols>
    <col min="1" max="1" width="27.1640625" bestFit="1" customWidth="1"/>
    <col min="2" max="2" width="21.1640625" customWidth="1"/>
    <col min="3" max="3" width="22.33203125" customWidth="1"/>
    <col min="4" max="4" width="30.33203125" bestFit="1" customWidth="1"/>
    <col min="5" max="5" width="72.5" bestFit="1" customWidth="1"/>
  </cols>
  <sheetData>
    <row r="1" spans="1:5" ht="25" customHeight="1">
      <c r="A1" s="110" t="s">
        <v>68</v>
      </c>
      <c r="B1" s="110"/>
      <c r="C1" s="110"/>
      <c r="D1" s="110"/>
      <c r="E1" s="110"/>
    </row>
    <row r="2" spans="1:5">
      <c r="A2" s="117" t="s">
        <v>118</v>
      </c>
      <c r="B2" s="117"/>
      <c r="C2" s="117"/>
      <c r="D2" s="117"/>
      <c r="E2" s="117"/>
    </row>
    <row r="3" spans="1:5" ht="17" thickBot="1"/>
    <row r="4" spans="1:5" ht="17">
      <c r="A4" s="89" t="s">
        <v>119</v>
      </c>
      <c r="B4" s="90" t="s">
        <v>125</v>
      </c>
      <c r="C4" s="90" t="s">
        <v>186</v>
      </c>
      <c r="D4" s="91" t="s">
        <v>120</v>
      </c>
      <c r="E4" s="92" t="s">
        <v>121</v>
      </c>
    </row>
    <row r="5" spans="1:5">
      <c r="A5" s="67" t="s">
        <v>102</v>
      </c>
      <c r="B5" s="3">
        <v>8</v>
      </c>
      <c r="C5" s="16">
        <v>60546</v>
      </c>
      <c r="D5" s="31">
        <f>B5*C5</f>
        <v>484368</v>
      </c>
      <c r="E5" s="68" t="s">
        <v>126</v>
      </c>
    </row>
    <row r="6" spans="1:5">
      <c r="A6" s="67" t="s">
        <v>103</v>
      </c>
      <c r="B6" s="3">
        <v>6</v>
      </c>
      <c r="C6" s="16">
        <v>19050</v>
      </c>
      <c r="D6" s="31">
        <f>B6*C6</f>
        <v>114300</v>
      </c>
      <c r="E6" s="68" t="s">
        <v>127</v>
      </c>
    </row>
    <row r="7" spans="1:5">
      <c r="A7" s="67" t="s">
        <v>104</v>
      </c>
      <c r="B7" s="3">
        <v>18</v>
      </c>
      <c r="C7" s="16">
        <v>27034</v>
      </c>
      <c r="D7" s="83">
        <f>B7*C7</f>
        <v>486612</v>
      </c>
      <c r="E7" s="68" t="s">
        <v>128</v>
      </c>
    </row>
    <row r="8" spans="1:5">
      <c r="A8" s="67" t="s">
        <v>105</v>
      </c>
      <c r="B8" s="3">
        <v>12</v>
      </c>
      <c r="C8" s="16">
        <v>76560</v>
      </c>
      <c r="D8" s="83">
        <f>B8*C8</f>
        <v>918720</v>
      </c>
      <c r="E8" s="68" t="s">
        <v>129</v>
      </c>
    </row>
    <row r="9" spans="1:5" ht="32" customHeight="1">
      <c r="A9" s="67" t="s">
        <v>187</v>
      </c>
      <c r="B9" s="3">
        <v>8</v>
      </c>
      <c r="C9" s="16">
        <v>24721</v>
      </c>
      <c r="D9" s="83">
        <f>C9*B9</f>
        <v>197768</v>
      </c>
      <c r="E9" s="93" t="s">
        <v>188</v>
      </c>
    </row>
    <row r="10" spans="1:5">
      <c r="A10" s="94" t="s">
        <v>122</v>
      </c>
      <c r="B10" s="85"/>
      <c r="C10" s="86">
        <f>SUM(C5:C9)</f>
        <v>207911</v>
      </c>
      <c r="D10" s="87">
        <f>SUM(D5:D9)</f>
        <v>2201768</v>
      </c>
      <c r="E10" s="95" t="s">
        <v>130</v>
      </c>
    </row>
    <row r="11" spans="1:5">
      <c r="A11" s="96"/>
      <c r="D11" s="88"/>
      <c r="E11" s="97"/>
    </row>
    <row r="12" spans="1:5">
      <c r="A12" s="67" t="s">
        <v>123</v>
      </c>
      <c r="B12" s="3"/>
      <c r="C12" s="3"/>
      <c r="D12" s="16">
        <f>Historical_financials!G15</f>
        <v>124717</v>
      </c>
      <c r="E12" s="68" t="s">
        <v>131</v>
      </c>
    </row>
    <row r="13" spans="1:5" ht="18" thickBot="1">
      <c r="A13" s="98" t="s">
        <v>124</v>
      </c>
      <c r="B13" s="99"/>
      <c r="C13" s="99"/>
      <c r="D13" s="100">
        <f>D10-D12</f>
        <v>2077051</v>
      </c>
      <c r="E13" s="101" t="s">
        <v>132</v>
      </c>
    </row>
    <row r="15" spans="1:5" ht="18" customHeight="1"/>
    <row r="16" spans="1:5" ht="20" customHeight="1">
      <c r="A16" s="121" t="s">
        <v>189</v>
      </c>
      <c r="B16" s="122"/>
      <c r="C16" s="122"/>
      <c r="D16" s="122"/>
      <c r="E16" s="122"/>
    </row>
    <row r="23" spans="3:3">
      <c r="C23" s="82"/>
    </row>
  </sheetData>
  <mergeCells count="3">
    <mergeCell ref="A1:E1"/>
    <mergeCell ref="A2:E2"/>
    <mergeCell ref="A16:E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81E9-F64D-014F-BEA8-E583FD714BE6}">
  <dimension ref="A1:F9"/>
  <sheetViews>
    <sheetView zoomScale="91" workbookViewId="0">
      <selection activeCell="G15" sqref="G15"/>
    </sheetView>
  </sheetViews>
  <sheetFormatPr baseColWidth="10" defaultRowHeight="16"/>
  <cols>
    <col min="1" max="1" width="22.83203125" customWidth="1"/>
    <col min="2" max="2" width="16.33203125" bestFit="1" customWidth="1"/>
    <col min="3" max="4" width="11.6640625" bestFit="1" customWidth="1"/>
    <col min="5" max="6" width="12.83203125" bestFit="1" customWidth="1"/>
  </cols>
  <sheetData>
    <row r="1" spans="1:6" ht="24">
      <c r="A1" s="123" t="s">
        <v>94</v>
      </c>
      <c r="B1" s="123"/>
      <c r="C1" s="123"/>
      <c r="D1" s="123"/>
      <c r="E1" s="123"/>
      <c r="F1" s="123"/>
    </row>
    <row r="2" spans="1:6">
      <c r="A2" s="124" t="s">
        <v>95</v>
      </c>
      <c r="B2" s="124"/>
      <c r="C2" s="124"/>
      <c r="D2" s="124"/>
      <c r="E2" s="124"/>
      <c r="F2" s="124"/>
    </row>
    <row r="4" spans="1:6">
      <c r="A4" s="84" t="s">
        <v>96</v>
      </c>
      <c r="B4" s="102">
        <v>0.02</v>
      </c>
      <c r="C4" s="102">
        <v>0.03</v>
      </c>
      <c r="D4" s="102">
        <v>0.04</v>
      </c>
      <c r="E4" s="102">
        <v>0.05</v>
      </c>
      <c r="F4" s="102">
        <v>0.06</v>
      </c>
    </row>
    <row r="5" spans="1:6">
      <c r="A5" s="102">
        <v>0.09</v>
      </c>
      <c r="B5" s="2" cm="1">
        <f t="array" ref="B5">SUMPRODUCT(DCF!$C$6:$G$6,1/(1+$A5)^DCF!$C$7:$G$7)+(DCF!$G$6*(1+B$4)/($A5-B$4))/(1+$A5)^5-DCF!$B$18</f>
        <v>643684.26456979872</v>
      </c>
      <c r="C5" s="2" cm="1">
        <f t="array" ref="C5">SUMPRODUCT(DCF!$C$6:$G$6,1/(1+$A5)^DCF!$C$7:$G$7)+(DCF!$G$6*(1+C$4)/($A5-C$4))/(1+$A5)^5-DCF!$B$18</f>
        <v>745092.6628317486</v>
      </c>
      <c r="D5" s="2" cm="1">
        <f t="array" ref="D5">SUMPRODUCT(DCF!$C$6:$G$6,1/(1+$A5)^DCF!$C$7:$G$7)+(DCF!$G$6*(1+D$4)/($A5-D$4))/(1+$A5)^5-DCF!$B$18</f>
        <v>887064.42039847863</v>
      </c>
      <c r="E5" s="2" cm="1">
        <f t="array" ref="E5">SUMPRODUCT(DCF!$C$6:$G$6,1/(1+$A5)^DCF!$C$7:$G$7)+(DCF!$G$6*(1+E$4)/($A5-E$4))/(1+$A5)^5-DCF!$B$18</f>
        <v>1100022.0567485737</v>
      </c>
      <c r="F5" s="2" cm="1">
        <f t="array" ref="F5">SUMPRODUCT(DCF!$C$6:$G$6,1/(1+$A5)^DCF!$C$7:$G$7)+(DCF!$G$6*(1+F$4)/($A5-F$4))/(1+$A5)^5-DCF!$B$18</f>
        <v>1454951.4506653985</v>
      </c>
    </row>
    <row r="6" spans="1:6">
      <c r="A6" s="102">
        <v>0.1</v>
      </c>
      <c r="B6" s="2" cm="1">
        <f t="array" ref="B6">SUMPRODUCT(DCF!$C$6:$G$6,1/(1+$A6)^DCF!$C$7:$G$7)+(DCF!$G$6*(1+B$4)/($A6-B$4))/(1+$A6)^5-DCF!$B$18</f>
        <v>544944.68157068279</v>
      </c>
      <c r="C6" s="2" cm="1">
        <f t="array" ref="C6">SUMPRODUCT(DCF!$C$6:$G$6,1/(1+$A6)^DCF!$C$7:$G$7)+(DCF!$G$6*(1+C$4)/($A6-C$4))/(1+$A6)^5-DCF!$B$18</f>
        <v>618272.7824958883</v>
      </c>
      <c r="D6" s="2" cm="1">
        <f t="array" ref="D6">SUMPRODUCT(DCF!$C$6:$G$6,1/(1+$A6)^DCF!$C$7:$G$7)+(DCF!$G$6*(1+D$4)/($A6-D$4))/(1+$A6)^5-DCF!$B$18</f>
        <v>716043.58372949564</v>
      </c>
      <c r="E6" s="2" cm="1">
        <f t="array" ref="E6">SUMPRODUCT(DCF!$C$6:$G$6,1/(1+$A6)^DCF!$C$7:$G$7)+(DCF!$G$6*(1+E$4)/($A6-E$4))/(1+$A6)^5-DCF!$B$18</f>
        <v>852922.70545654593</v>
      </c>
      <c r="F6" s="2" cm="1">
        <f t="array" ref="F6">SUMPRODUCT(DCF!$C$6:$G$6,1/(1+$A6)^DCF!$C$7:$G$7)+(DCF!$G$6*(1+F$4)/($A6-F$4))/(1+$A6)^5-DCF!$B$18</f>
        <v>1058241.3880471212</v>
      </c>
    </row>
    <row r="7" spans="1:6">
      <c r="A7" s="102">
        <v>0.11</v>
      </c>
      <c r="B7" s="2" cm="1">
        <f t="array" ref="B7">SUMPRODUCT(DCF!$C$6:$G$6,1/(1+$A7)^DCF!$C$7:$G$7)+(DCF!$G$6*(1+B$4)/($A7-B$4))/(1+$A7)^5-DCF!$B$18</f>
        <v>468232.21516170562</v>
      </c>
      <c r="C7" s="2" cm="1">
        <f t="array" ref="C7">SUMPRODUCT(DCF!$C$6:$G$6,1/(1+$A7)^DCF!$C$7:$G$7)+(DCF!$G$6*(1+C$4)/($A7-C$4))/(1+$A7)^5-DCF!$B$18</f>
        <v>523237.54758909903</v>
      </c>
      <c r="D7" s="2" cm="1">
        <f t="array" ref="D7">SUMPRODUCT(DCF!$C$6:$G$6,1/(1+$A7)^DCF!$C$7:$G$7)+(DCF!$G$6*(1+D$4)/($A7-D$4))/(1+$A7)^5-DCF!$B$18</f>
        <v>593958.68928146176</v>
      </c>
      <c r="E7" s="2" cm="1">
        <f t="array" ref="E7">SUMPRODUCT(DCF!$C$6:$G$6,1/(1+$A7)^DCF!$C$7:$G$7)+(DCF!$G$6*(1+E$4)/($A7-E$4))/(1+$A7)^5-DCF!$B$18</f>
        <v>688253.54487127904</v>
      </c>
      <c r="F7" s="2" cm="1">
        <f t="array" ref="F7">SUMPRODUCT(DCF!$C$6:$G$6,1/(1+$A7)^DCF!$C$7:$G$7)+(DCF!$G$6*(1+F$4)/($A7-F$4))/(1+$A7)^5-DCF!$B$18</f>
        <v>820266.34269702295</v>
      </c>
    </row>
    <row r="8" spans="1:6">
      <c r="A8" s="102">
        <v>0.12</v>
      </c>
      <c r="B8" s="2" cm="1">
        <f t="array" ref="B8">SUMPRODUCT(DCF!$C$6:$G$6,1/(1+$A8)^DCF!$C$7:$G$7)+(DCF!$G$6*(1+B$4)/($A8-B$4))/(1+$A8)^5-DCF!$B$18</f>
        <v>406935.19292605214</v>
      </c>
      <c r="C8" s="2" cm="1">
        <f t="array" ref="C8">SUMPRODUCT(DCF!$C$6:$G$6,1/(1+$A8)^DCF!$C$7:$G$7)+(DCF!$G$6*(1+C$4)/($A8-C$4))/(1+$A8)^5-DCF!$B$18</f>
        <v>449388.80089449277</v>
      </c>
      <c r="D8" s="2" cm="1">
        <f t="array" ref="D8">SUMPRODUCT(DCF!$C$6:$G$6,1/(1+$A8)^DCF!$C$7:$G$7)+(DCF!$G$6*(1+D$4)/($A8-D$4))/(1+$A8)^5-DCF!$B$18</f>
        <v>502455.81085504347</v>
      </c>
      <c r="E8" s="2" cm="1">
        <f t="array" ref="E8">SUMPRODUCT(DCF!$C$6:$G$6,1/(1+$A8)^DCF!$C$7:$G$7)+(DCF!$G$6*(1+E$4)/($A8-E$4))/(1+$A8)^5-DCF!$B$18</f>
        <v>570684.82366146566</v>
      </c>
      <c r="F8" s="2" cm="1">
        <f t="array" ref="F8">SUMPRODUCT(DCF!$C$6:$G$6,1/(1+$A8)^DCF!$C$7:$G$7)+(DCF!$G$6*(1+F$4)/($A8-F$4))/(1+$A8)^5-DCF!$B$18</f>
        <v>661656.84073669533</v>
      </c>
    </row>
    <row r="9" spans="1:6">
      <c r="A9" s="102">
        <v>0.13</v>
      </c>
      <c r="B9" s="2" cm="1">
        <f t="array" ref="B9">SUMPRODUCT(DCF!$C$6:$G$6,1/(1+$A9)^DCF!$C$7:$G$7)+(DCF!$G$6*(1+B$4)/($A9-B$4))/(1+$A9)^5-DCF!$B$18</f>
        <v>356846.36668095726</v>
      </c>
      <c r="C9" s="2" cm="1">
        <f t="array" ref="C9">SUMPRODUCT(DCF!$C$6:$G$6,1/(1+$A9)^DCF!$C$7:$G$7)+(DCF!$G$6*(1+C$4)/($A9-C$4))/(1+$A9)^5-DCF!$B$18</f>
        <v>390367.81282421085</v>
      </c>
      <c r="D9" s="2" cm="1">
        <f t="array" ref="D9">SUMPRODUCT(DCF!$C$6:$G$6,1/(1+$A9)^DCF!$C$7:$G$7)+(DCF!$G$6*(1+D$4)/($A9-D$4))/(1+$A9)^5-DCF!$B$18</f>
        <v>431338.46922152082</v>
      </c>
      <c r="E9" s="2" cm="1">
        <f t="array" ref="E9">SUMPRODUCT(DCF!$C$6:$G$6,1/(1+$A9)^DCF!$C$7:$G$7)+(DCF!$G$6*(1+E$4)/($A9-E$4))/(1+$A9)^5-DCF!$B$18</f>
        <v>482551.78971815819</v>
      </c>
      <c r="F9" s="2" cm="1">
        <f t="array" ref="F9">SUMPRODUCT(DCF!$C$6:$G$6,1/(1+$A9)^DCF!$C$7:$G$7)+(DCF!$G$6*(1+F$4)/($A9-F$4))/(1+$A9)^5-DCF!$B$18</f>
        <v>548397.48749954917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Historical_financials</vt:lpstr>
      <vt:lpstr>Segment_analysis</vt:lpstr>
      <vt:lpstr>Forecast</vt:lpstr>
      <vt:lpstr>DCF</vt:lpstr>
      <vt:lpstr>Trading_comps</vt:lpstr>
      <vt:lpstr>SOTP_valuation</vt:lpstr>
      <vt:lpstr>Sensitivity_checks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v</dc:creator>
  <cp:lastModifiedBy>amrita v</cp:lastModifiedBy>
  <dcterms:created xsi:type="dcterms:W3CDTF">2026-10-21T14:53:29Z</dcterms:created>
  <dcterms:modified xsi:type="dcterms:W3CDTF">2026-10-29T03:10:01Z</dcterms:modified>
</cp:coreProperties>
</file>